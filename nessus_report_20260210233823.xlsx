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 Worksheet" sheetId="1" r:id="rId1"/>
    <sheet name="host_scan_data" sheetId="2" r:id="rId2"/>
    <sheet name="CVSS Score Total" sheetId="3" r:id="rId3"/>
    <sheet name="Medium" sheetId="4" r:id="rId4"/>
    <sheet name="low" sheetId="5" r:id="rId5"/>
    <sheet name="Information" sheetId="6" r:id="rId6"/>
    <sheet name="CPE Report Data" sheetId="7" r:id="rId7"/>
    <sheet name="Device Type" sheetId="8" r:id="rId8"/>
    <sheet name="HostConfigData" sheetId="9" r:id="rId9"/>
    <sheet name="UserAccountData" sheetId="10" r:id="rId10"/>
    <sheet name="Summary Report Data" sheetId="11" r:id="rId11"/>
    <sheet name="Vulnerability to IP Summary" sheetId="12" r:id="rId12"/>
    <sheet name="HostSummary Report Data" sheetId="13" r:id="rId13"/>
  </sheets>
  <definedNames>
    <definedName name="_xlnm._FilterDatabase" localSheetId="6" hidden="1">'CPE Report Data'!$A$2:$Z$2</definedName>
    <definedName name="_xlnm._FilterDatabase" localSheetId="2" hidden="1">'CVSS Score Total'!$A$5:$T$5</definedName>
    <definedName name="_xlnm._FilterDatabase" localSheetId="7" hidden="1">'Device Type'!$A$2:$Z$2</definedName>
    <definedName name="_xlnm._FilterDatabase" localSheetId="1" hidden="1">host_scan_data!$A$2:$T$2</definedName>
    <definedName name="_xlnm._FilterDatabase" localSheetId="8" hidden="1">HostConfigData!$A$2:$Z$2</definedName>
    <definedName name="_xlnm._FilterDatabase" localSheetId="5" hidden="1">Information!$A$2:$Z$2</definedName>
    <definedName name="_xlnm._FilterDatabase" localSheetId="4" hidden="1">low!$A$2:$Z$2</definedName>
    <definedName name="_xlnm._FilterDatabase" localSheetId="3" hidden="1">Medium!$A$2:$Z$2</definedName>
    <definedName name="_xlnm._FilterDatabase" localSheetId="9" hidden="1">UserAccountData!$A$2:$S$2</definedName>
    <definedName name="_xlnm._FilterDatabase" localSheetId="11" hidden="1">'Vulnerability to IP Summary'!$A$2:$F$2</definedName>
  </definedNames>
  <calcPr calcId="124519" fullCalcOnLoad="1"/>
</workbook>
</file>

<file path=xl/sharedStrings.xml><?xml version="1.0" encoding="utf-8"?>
<sst xmlns="http://schemas.openxmlformats.org/spreadsheetml/2006/main" count="543" uniqueCount="197">
  <si>
    <t>'Home Worksheet'!A1</t>
  </si>
  <si>
    <t>File</t>
  </si>
  <si>
    <t>IP Address</t>
  </si>
  <si>
    <t>FQDN</t>
  </si>
  <si>
    <t>Plugin ID</t>
  </si>
  <si>
    <t>Protocol</t>
  </si>
  <si>
    <t>Port</t>
  </si>
  <si>
    <t>Severity</t>
  </si>
  <si>
    <t>Plugin Family</t>
  </si>
  <si>
    <t>Plugin Name</t>
  </si>
  <si>
    <t>CVSS Vector</t>
  </si>
  <si>
    <t>CVSS Base Score</t>
  </si>
  <si>
    <t>CVSS Temporal Score</t>
  </si>
  <si>
    <t>Exploitability Ease</t>
  </si>
  <si>
    <t>Exploit Available</t>
  </si>
  <si>
    <t>Exploit Framework Canvas</t>
  </si>
  <si>
    <t>Exploit Framework Metasploit</t>
  </si>
  <si>
    <t>Exploit Framework Core</t>
  </si>
  <si>
    <t>Metasploit Name</t>
  </si>
  <si>
    <t>Canvas Package</t>
  </si>
  <si>
    <t>Plugin Output</t>
  </si>
  <si>
    <t>.\scan.nessus</t>
  </si>
  <si>
    <t>host-001.example.local</t>
  </si>
  <si>
    <t>N/A</t>
  </si>
  <si>
    <t>tcp</t>
  </si>
  <si>
    <t>General</t>
  </si>
  <si>
    <t>Summary - Mock</t>
  </si>
  <si>
    <t>Weak Password Policy Detected (mock)</t>
  </si>
  <si>
    <t>Local User Accounts (mock report)</t>
  </si>
  <si>
    <t>Open Port (mock)</t>
  </si>
  <si>
    <t>host-002.example.local</t>
  </si>
  <si>
    <t>Configuration</t>
  </si>
  <si>
    <t>Policy Family - Configuration (mock)</t>
  </si>
  <si>
    <t>Local Users Found (mock)</t>
  </si>
  <si>
    <t>Host IP Address</t>
  </si>
  <si>
    <t>Total</t>
  </si>
  <si>
    <t>Base Total</t>
  </si>
  <si>
    <t>Temporal Total</t>
  </si>
  <si>
    <t>Base Critical Severity (4)</t>
  </si>
  <si>
    <t>Temporal Critical Severity (4)</t>
  </si>
  <si>
    <t>Base High Severity (3)</t>
  </si>
  <si>
    <t>Temporal High Severity (3)</t>
  </si>
  <si>
    <t>Base Medium Severity (2)</t>
  </si>
  <si>
    <t>Temporal Medium Severity (2)</t>
  </si>
  <si>
    <t>Critical</t>
  </si>
  <si>
    <t>High</t>
  </si>
  <si>
    <t>Medium</t>
  </si>
  <si>
    <t>Multiplier</t>
  </si>
  <si>
    <t>plugin Family</t>
  </si>
  <si>
    <t>plugin id</t>
  </si>
  <si>
    <t>plugin Name</t>
  </si>
  <si>
    <t>count</t>
  </si>
  <si>
    <t>Bid</t>
  </si>
  <si>
    <t>CVE</t>
  </si>
  <si>
    <t>OSVDB</t>
  </si>
  <si>
    <t>Solution</t>
  </si>
  <si>
    <t>Description</t>
  </si>
  <si>
    <t>Synopsis</t>
  </si>
  <si>
    <t>plugin_publication_date</t>
  </si>
  <si>
    <t>plugin_modification_date</t>
  </si>
  <si>
    <t>patch_publication_date</t>
  </si>
  <si>
    <t>vuln_publication_date</t>
  </si>
  <si>
    <t>Review password policy and ensure minimum complexity is enforced.</t>
  </si>
  <si>
    <t>This mock finding represents a policy-family result (Authentication).</t>
  </si>
  <si>
    <t>Mock user account enumeration for testing user account reporting features.</t>
  </si>
  <si>
    <t>Mock open service used to exercise port scanning and service reporting.</t>
  </si>
  <si>
    <t>Another mock user account entry for testing.</t>
  </si>
  <si>
    <t>Summary of the mock scan results (no sensitive data).</t>
  </si>
  <si>
    <t>A mock non-critical configuration check.</t>
  </si>
  <si>
    <t>Netbios Name</t>
  </si>
  <si>
    <t>Name</t>
  </si>
  <si>
    <t>CPE</t>
  </si>
  <si>
    <t>CPE Source</t>
  </si>
  <si>
    <t>Device Type</t>
  </si>
  <si>
    <t>Confidence Level</t>
  </si>
  <si>
    <t>OS</t>
  </si>
  <si>
    <t>Local Check Protocol</t>
  </si>
  <si>
    <t>MAC Address</t>
  </si>
  <si>
    <t>IP / Name</t>
  </si>
  <si>
    <t>Severity None (0)</t>
  </si>
  <si>
    <t>Severity Low (1)</t>
  </si>
  <si>
    <t>Severity Medium (2)</t>
  </si>
  <si>
    <t>Severity High (3)</t>
  </si>
  <si>
    <t>Severity Critical (4)</t>
  </si>
  <si>
    <t>Minimum password len</t>
  </si>
  <si>
    <t>Password history len</t>
  </si>
  <si>
    <t>Maximum password age days</t>
  </si>
  <si>
    <t>Password must meet complexity requirements</t>
  </si>
  <si>
    <t>Minimum password age days</t>
  </si>
  <si>
    <t>Forced logoff time Seconds</t>
  </si>
  <si>
    <t>Locked account time seconds</t>
  </si>
  <si>
    <t>Time between failed logon seconds</t>
  </si>
  <si>
    <t>Number of invalid logon before locked out seconds</t>
  </si>
  <si>
    <t>MockOS 1.0</t>
  </si>
  <si>
    <t>00:11:22:33:44:55</t>
  </si>
  <si>
    <t>MockOS 2.0</t>
  </si>
  <si>
    <t>User Location</t>
  </si>
  <si>
    <t>SID</t>
  </si>
  <si>
    <t>type</t>
  </si>
  <si>
    <t>Never Changed Password</t>
  </si>
  <si>
    <t>Automatic Account Disabled</t>
  </si>
  <si>
    <t>Account Disabled</t>
  </si>
  <si>
    <t>Never Logged In</t>
  </si>
  <si>
    <t>Guest Account Belongs to a Group</t>
  </si>
  <si>
    <t>Administrators</t>
  </si>
  <si>
    <t>Domain Administrators</t>
  </si>
  <si>
    <t>Account Operators</t>
  </si>
  <si>
    <t>Server Operators</t>
  </si>
  <si>
    <t>Backup Operators</t>
  </si>
  <si>
    <t>Print Operators</t>
  </si>
  <si>
    <t>Replicator</t>
  </si>
  <si>
    <t>User Account Sumamry</t>
  </si>
  <si>
    <t>User Type Count</t>
  </si>
  <si>
    <t>Domain Administrator account</t>
  </si>
  <si>
    <t>Domain Guest account</t>
  </si>
  <si>
    <t>Domain User</t>
  </si>
  <si>
    <t>Administrator account</t>
  </si>
  <si>
    <t>Guest account</t>
  </si>
  <si>
    <t>Local User</t>
  </si>
  <si>
    <t>Unknown</t>
  </si>
  <si>
    <t>User</t>
  </si>
  <si>
    <t>Group</t>
  </si>
  <si>
    <t>Computer Account</t>
  </si>
  <si>
    <t>Critical Severity Vulnerability Top 10 By Plugin Family</t>
  </si>
  <si>
    <t>High Severity Vulnerability Top 10 By Plugin Family</t>
  </si>
  <si>
    <t>Medium Severity Vulnerability Top 10 By Plugin Family</t>
  </si>
  <si>
    <t>IP Count</t>
  </si>
  <si>
    <t>IP Addresses</t>
  </si>
  <si>
    <t>Low (1)</t>
  </si>
  <si>
    <t>Informational (0)</t>
  </si>
  <si>
    <t>Medium (2)</t>
  </si>
  <si>
    <t>Host Summary Table operating-system</t>
  </si>
  <si>
    <t>operating-system Values</t>
  </si>
  <si>
    <t>Count</t>
  </si>
  <si>
    <t>Host Summary Table local-checks-proto</t>
  </si>
  <si>
    <t>local-checks-proto Values</t>
  </si>
  <si>
    <t>Host Summary Table name</t>
  </si>
  <si>
    <t>name Values</t>
  </si>
  <si>
    <t>Host Summary Table sev0</t>
  </si>
  <si>
    <t>The number of Hosts with sev0 discovered</t>
  </si>
  <si>
    <t>Host Summary Table sev1</t>
  </si>
  <si>
    <t>The number of Hosts with sev1 discovered</t>
  </si>
  <si>
    <t>Host Summary Table sev2</t>
  </si>
  <si>
    <t>The number of Hosts with sev2 discovered</t>
  </si>
  <si>
    <t>Host Summary Table sev3</t>
  </si>
  <si>
    <t>The number of Hosts with sev3 discovered</t>
  </si>
  <si>
    <t>Host Summary Table sev4</t>
  </si>
  <si>
    <t>The number of Hosts with sev4 discovered</t>
  </si>
  <si>
    <t>Host Summary Table Minimum password len</t>
  </si>
  <si>
    <t>Minimum password len Values</t>
  </si>
  <si>
    <t>Host Summary Table Password history len</t>
  </si>
  <si>
    <t>Password history len Values</t>
  </si>
  <si>
    <t>Host Summary Table Maximum password age (d)</t>
  </si>
  <si>
    <t>Maximum password age (d) Values</t>
  </si>
  <si>
    <t>Host Summary Table Password must meet complexity requirements</t>
  </si>
  <si>
    <t>Password must meet complexity requirements Values</t>
  </si>
  <si>
    <t>Host Summary Table Minimum password age (d)</t>
  </si>
  <si>
    <t>Minimum password age (d) Values</t>
  </si>
  <si>
    <t>Host Summary Table Forced logoff time (s)</t>
  </si>
  <si>
    <t>Forced logoff time (s) Values</t>
  </si>
  <si>
    <t>Host Summary Table Locked account time (s)</t>
  </si>
  <si>
    <t>Locked account time (s) Values</t>
  </si>
  <si>
    <t>Host Summary Table Time between failed logon (s)</t>
  </si>
  <si>
    <t>Time between failed logon (s) Values</t>
  </si>
  <si>
    <t>Host Summary Table Number of invalid logon before locked out (s)</t>
  </si>
  <si>
    <t>Number of invalid logon before locked out (s) Values</t>
  </si>
  <si>
    <t>Home Page for Nessus Report_20260210233823</t>
  </si>
  <si>
    <t>Worksheets</t>
  </si>
  <si>
    <t>host_scan_data</t>
  </si>
  <si>
    <t>CVSS Score Total</t>
  </si>
  <si>
    <t>low</t>
  </si>
  <si>
    <t>Information</t>
  </si>
  <si>
    <t>CPE Report Data</t>
  </si>
  <si>
    <t>HostConfigData</t>
  </si>
  <si>
    <t>UserAccountData</t>
  </si>
  <si>
    <t>Summary Report Data</t>
  </si>
  <si>
    <t>Vulnerability to IP Summary</t>
  </si>
  <si>
    <t>HostSummary Report Data</t>
  </si>
  <si>
    <t>Overall Summary Data</t>
  </si>
  <si>
    <t>Number of IP's Scanned</t>
  </si>
  <si>
    <t>Number of Discovered Systems</t>
  </si>
  <si>
    <t>Total Unique Critical Severity Vulnerability</t>
  </si>
  <si>
    <t>Total Unique High Severity Vulnerability</t>
  </si>
  <si>
    <t>Total Unique Medium Severity Vulnerability</t>
  </si>
  <si>
    <t>Total Unique Low Severity Vulnerability</t>
  </si>
  <si>
    <t>Total Unique Informational Severity Vulnerability</t>
  </si>
  <si>
    <t>Total Count of Critical Severity Vulnerability</t>
  </si>
  <si>
    <t>Total Count of High Severity Vulnerability</t>
  </si>
  <si>
    <t>Total Count of Medium Severity Vulnerability</t>
  </si>
  <si>
    <t>Total Count of Low Severity Vulnerability</t>
  </si>
  <si>
    <t>The most common Critical Severity vulnerability</t>
  </si>
  <si>
    <t>The most common high Severity vulnerability</t>
  </si>
  <si>
    <t>Number of System with a critical(4) Severity Vulnerability</t>
  </si>
  <si>
    <t>Number of System with a High(3) Severity Vulnerability</t>
  </si>
  <si>
    <t>Number of System with a Medium(2) Severity Vulnerability</t>
  </si>
  <si>
    <t>Number of System with a Low(1) Severity Vulnerability</t>
  </si>
  <si>
    <t>Number of System with a Informational(NONE-0) Severity Vulnerability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</si>
</sst>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0" fontId="0" fillId="0" borderId="2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operating-system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operating-system</c:v>
          </c:tx>
          <c:cat>
            <c:strRef>
              <c:f>'HostSummary Report Data'!$A$4:$A$5</c:f>
              <c:strCache>
                <c:ptCount val="2"/>
                <c:pt idx="0">
                  <c:v>MockOS 2.0</c:v>
                </c:pt>
                <c:pt idx="1">
                  <c:v>MockOS 1.0</c:v>
                </c:pt>
              </c:strCache>
            </c:strRef>
          </c:cat>
          <c:val>
            <c:numRef>
              <c:f>'HostSummary Report Data'!$B$4:$B$5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local-checks-proto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local-checks-proto</c:v>
          </c:tx>
          <c:cat>
            <c:strRef>
              <c:f>'HostSummary Report Data'!$A$18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name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name</c:v>
          </c:tx>
          <c:cat>
            <c:strRef>
              <c:f>'HostSummary Report Data'!$A$31:$A$32</c:f>
              <c:strCache>
                <c:ptCount val="2"/>
                <c:pt idx="0">
                  <c:v>host-002.example.local</c:v>
                </c:pt>
                <c:pt idx="1">
                  <c:v>host-001.example.local</c:v>
                </c:pt>
              </c:strCache>
            </c:strRef>
          </c:cat>
          <c:val>
            <c:numRef>
              <c:f>'HostSummary Report Data'!$B$31:$B$32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sev0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sev0</c:v>
          </c:tx>
          <c:cat>
            <c:numRef>
              <c:f>'HostSummary Report Data'!$A$45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'HostSummary Report Data'!$B$45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sev1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sev1</c:v>
          </c:tx>
          <c:cat>
            <c:numRef>
              <c:f>'HostSummary Report Data'!$A$58:$A$59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cat>
          <c:val>
            <c:numRef>
              <c:f>'HostSummary Report Data'!$B$58:$B$59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sev2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sev2</c:v>
          </c:tx>
          <c:cat>
            <c:numRef>
              <c:f>'HostSummary Report Data'!$A$72:$A$73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cat>
          <c:val>
            <c:numRef>
              <c:f>'HostSummary Report Data'!$B$72:$B$73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sev3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sev3</c:v>
          </c:tx>
          <c:cat>
            <c:numRef>
              <c:f>'HostSummary Report Data'!$A$86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'HostSummary Report Data'!$B$86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sev4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sev4</c:v>
          </c:tx>
          <c:cat>
            <c:numRef>
              <c:f>'HostSummary Report Data'!$A$99</c:f>
              <c:numCache>
                <c:formatCode>General</c:formatCode>
                <c:ptCount val="1"/>
                <c:pt idx="0">
                  <c:v>0</c:v>
                </c:pt>
              </c:numCache>
            </c:numRef>
          </c:cat>
          <c:val>
            <c:numRef>
              <c:f>'HostSummary Report Data'!$B$99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Minimum password len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Minimum password len</c:v>
          </c:tx>
          <c:cat>
            <c:strRef>
              <c:f>'HostSummary Report Data'!$A$112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Data'!$B$112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Password history len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Password history len</c:v>
          </c:tx>
          <c:cat>
            <c:strRef>
              <c:f>'HostSummary Report Data'!$A$125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Data'!$B$125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Maximum password age (d)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Maximum password age (d)</c:v>
          </c:tx>
          <c:cat>
            <c:strRef>
              <c:f>'HostSummary Report Data'!$A$138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Data'!$B$138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Password must meet complexity requirements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Password must meet complexity requirements</c:v>
          </c:tx>
          <c:cat>
            <c:strRef>
              <c:f>'HostSummary Report Data'!$A$151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Data'!$B$151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Minimum password age (d)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Minimum password age (d)</c:v>
          </c:tx>
          <c:cat>
            <c:strRef>
              <c:f>'HostSummary Report Data'!$A$164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Data'!$B$164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Forced logoff time (s)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Forced logoff time (s)</c:v>
          </c:tx>
          <c:cat>
            <c:strRef>
              <c:f>'HostSummary Report Data'!$A$177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Data'!$B$177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Locked account time (s)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Locked account time (s)</c:v>
          </c:tx>
          <c:cat>
            <c:strRef>
              <c:f>'HostSummary Report Data'!$A$190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Data'!$B$190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Time between failed logon (s)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Time between failed logon (s)</c:v>
          </c:tx>
          <c:cat>
            <c:strRef>
              <c:f>'HostSummary Report Data'!$A$203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Data'!$B$203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Host Summary Table Number of invalid logon before locked out (s)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Host Summary Table Number of invalid logon before locked out (s)</c:v>
          </c:tx>
          <c:cat>
            <c:strRef>
              <c:f>'HostSummary Report Data'!$A$216</c:f>
              <c:strCache>
                <c:ptCount val="1"/>
                <c:pt idx="0">
                  <c:v>Unknown</c:v>
                </c:pt>
              </c:strCache>
            </c:strRef>
          </c:cat>
          <c:val>
            <c:numRef>
              <c:f>'HostSummary Report Data'!$B$216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5</xdr:row>
      <xdr:rowOff>0</xdr:rowOff>
    </xdr:from>
    <xdr:to>
      <xdr:col>10</xdr:col>
      <xdr:colOff>314325</xdr:colOff>
      <xdr:row>19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19</xdr:row>
      <xdr:rowOff>0</xdr:rowOff>
    </xdr:from>
    <xdr:to>
      <xdr:col>10</xdr:col>
      <xdr:colOff>314325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32</xdr:row>
      <xdr:rowOff>0</xdr:rowOff>
    </xdr:from>
    <xdr:to>
      <xdr:col>10</xdr:col>
      <xdr:colOff>314325</xdr:colOff>
      <xdr:row>46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46</xdr:row>
      <xdr:rowOff>0</xdr:rowOff>
    </xdr:from>
    <xdr:to>
      <xdr:col>10</xdr:col>
      <xdr:colOff>314325</xdr:colOff>
      <xdr:row>60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</xdr:colOff>
      <xdr:row>59</xdr:row>
      <xdr:rowOff>0</xdr:rowOff>
    </xdr:from>
    <xdr:to>
      <xdr:col>10</xdr:col>
      <xdr:colOff>314325</xdr:colOff>
      <xdr:row>73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9525</xdr:colOff>
      <xdr:row>73</xdr:row>
      <xdr:rowOff>0</xdr:rowOff>
    </xdr:from>
    <xdr:to>
      <xdr:col>10</xdr:col>
      <xdr:colOff>314325</xdr:colOff>
      <xdr:row>87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87</xdr:row>
      <xdr:rowOff>0</xdr:rowOff>
    </xdr:from>
    <xdr:to>
      <xdr:col>10</xdr:col>
      <xdr:colOff>314325</xdr:colOff>
      <xdr:row>101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9525</xdr:colOff>
      <xdr:row>100</xdr:row>
      <xdr:rowOff>0</xdr:rowOff>
    </xdr:from>
    <xdr:to>
      <xdr:col>10</xdr:col>
      <xdr:colOff>314325</xdr:colOff>
      <xdr:row>114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9525</xdr:colOff>
      <xdr:row>113</xdr:row>
      <xdr:rowOff>0</xdr:rowOff>
    </xdr:from>
    <xdr:to>
      <xdr:col>10</xdr:col>
      <xdr:colOff>314325</xdr:colOff>
      <xdr:row>127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9525</xdr:colOff>
      <xdr:row>126</xdr:row>
      <xdr:rowOff>0</xdr:rowOff>
    </xdr:from>
    <xdr:to>
      <xdr:col>10</xdr:col>
      <xdr:colOff>314325</xdr:colOff>
      <xdr:row>140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9525</xdr:colOff>
      <xdr:row>139</xdr:row>
      <xdr:rowOff>0</xdr:rowOff>
    </xdr:from>
    <xdr:to>
      <xdr:col>10</xdr:col>
      <xdr:colOff>314325</xdr:colOff>
      <xdr:row>153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9525</xdr:colOff>
      <xdr:row>152</xdr:row>
      <xdr:rowOff>0</xdr:rowOff>
    </xdr:from>
    <xdr:to>
      <xdr:col>10</xdr:col>
      <xdr:colOff>314325</xdr:colOff>
      <xdr:row>166</xdr:row>
      <xdr:rowOff>76200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9525</xdr:colOff>
      <xdr:row>165</xdr:row>
      <xdr:rowOff>0</xdr:rowOff>
    </xdr:from>
    <xdr:to>
      <xdr:col>10</xdr:col>
      <xdr:colOff>314325</xdr:colOff>
      <xdr:row>179</xdr:row>
      <xdr:rowOff>76200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9525</xdr:colOff>
      <xdr:row>178</xdr:row>
      <xdr:rowOff>0</xdr:rowOff>
    </xdr:from>
    <xdr:to>
      <xdr:col>10</xdr:col>
      <xdr:colOff>314325</xdr:colOff>
      <xdr:row>192</xdr:row>
      <xdr:rowOff>76200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9525</xdr:colOff>
      <xdr:row>191</xdr:row>
      <xdr:rowOff>0</xdr:rowOff>
    </xdr:from>
    <xdr:to>
      <xdr:col>10</xdr:col>
      <xdr:colOff>314325</xdr:colOff>
      <xdr:row>205</xdr:row>
      <xdr:rowOff>76200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</xdr:col>
      <xdr:colOff>9525</xdr:colOff>
      <xdr:row>204</xdr:row>
      <xdr:rowOff>0</xdr:rowOff>
    </xdr:from>
    <xdr:to>
      <xdr:col>10</xdr:col>
      <xdr:colOff>314325</xdr:colOff>
      <xdr:row>218</xdr:row>
      <xdr:rowOff>76200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9525</xdr:colOff>
      <xdr:row>217</xdr:row>
      <xdr:rowOff>0</xdr:rowOff>
    </xdr:from>
    <xdr:to>
      <xdr:col>10</xdr:col>
      <xdr:colOff>314325</xdr:colOff>
      <xdr:row>231</xdr:row>
      <xdr:rowOff>76200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70.7109375" customWidth="1"/>
  </cols>
  <sheetData>
    <row r="1" spans="1:2">
      <c r="A1" s="1" t="s">
        <v>166</v>
      </c>
      <c r="B1" s="1"/>
    </row>
    <row r="2" spans="1:2">
      <c r="A2" s="2" t="s">
        <v>168</v>
      </c>
    </row>
    <row r="3" spans="1:2">
      <c r="A3" s="2" t="s">
        <v>169</v>
      </c>
    </row>
    <row r="4" spans="1:2">
      <c r="A4" s="2" t="s">
        <v>46</v>
      </c>
    </row>
    <row r="5" spans="1:2">
      <c r="A5" s="2" t="s">
        <v>170</v>
      </c>
    </row>
    <row r="6" spans="1:2">
      <c r="A6" s="2" t="s">
        <v>171</v>
      </c>
    </row>
    <row r="7" spans="1:2">
      <c r="A7" s="2" t="s">
        <v>172</v>
      </c>
    </row>
    <row r="8" spans="1:2">
      <c r="A8" s="2" t="s">
        <v>73</v>
      </c>
    </row>
    <row r="9" spans="1:2">
      <c r="A9" s="2" t="s">
        <v>173</v>
      </c>
    </row>
    <row r="10" spans="1:2">
      <c r="A10" s="2" t="s">
        <v>174</v>
      </c>
    </row>
    <row r="11" spans="1:2">
      <c r="A11" s="2" t="s">
        <v>175</v>
      </c>
    </row>
    <row r="12" spans="1:2">
      <c r="A12" s="2" t="s">
        <v>176</v>
      </c>
    </row>
    <row r="13" spans="1:2">
      <c r="A13" s="2" t="s">
        <v>177</v>
      </c>
    </row>
    <row r="16" spans="1:2">
      <c r="A16" s="1" t="s">
        <v>178</v>
      </c>
      <c r="B16" s="1"/>
    </row>
    <row r="17" spans="1:2">
      <c r="A17" t="s">
        <v>179</v>
      </c>
    </row>
    <row r="18" spans="1:2">
      <c r="A18" t="s">
        <v>180</v>
      </c>
      <c r="B18">
        <v>0</v>
      </c>
    </row>
    <row r="20" spans="1:2">
      <c r="A20" t="s">
        <v>181</v>
      </c>
      <c r="B20">
        <v>0</v>
      </c>
    </row>
    <row r="21" spans="1:2">
      <c r="A21" t="s">
        <v>182</v>
      </c>
      <c r="B21">
        <v>0</v>
      </c>
    </row>
    <row r="22" spans="1:2">
      <c r="A22" t="s">
        <v>183</v>
      </c>
      <c r="B22">
        <v>1</v>
      </c>
    </row>
    <row r="23" spans="1:2">
      <c r="A23" t="s">
        <v>184</v>
      </c>
      <c r="B23">
        <v>3</v>
      </c>
    </row>
    <row r="24" spans="1:2">
      <c r="A24" t="s">
        <v>185</v>
      </c>
      <c r="B24">
        <v>2</v>
      </c>
    </row>
    <row r="26" spans="1:2">
      <c r="A26" t="s">
        <v>186</v>
      </c>
      <c r="B26" t="s">
        <v>23</v>
      </c>
    </row>
    <row r="27" spans="1:2">
      <c r="A27" t="s">
        <v>187</v>
      </c>
      <c r="B27" t="s">
        <v>23</v>
      </c>
    </row>
    <row r="28" spans="1:2">
      <c r="A28" t="s">
        <v>188</v>
      </c>
      <c r="B28">
        <f>SUM(medium!E3:E3)</f>
        <v>0</v>
      </c>
    </row>
    <row r="29" spans="1:2">
      <c r="A29" t="s">
        <v>189</v>
      </c>
      <c r="B29">
        <f>SUM(low!E3:E5)</f>
        <v>0</v>
      </c>
    </row>
    <row r="31" spans="1:2">
      <c r="A31" t="s">
        <v>190</v>
      </c>
    </row>
    <row r="32" spans="1:2">
      <c r="A32" t="s">
        <v>191</v>
      </c>
    </row>
    <row r="33" spans="1:2">
      <c r="A33" t="s">
        <v>192</v>
      </c>
      <c r="B33">
        <f>COUNTIF(HostConfigData!M3:M2,"&gt;0")</f>
        <v>0</v>
      </c>
    </row>
    <row r="34" spans="1:2">
      <c r="A34" t="s">
        <v>193</v>
      </c>
      <c r="B34">
        <f>COUNTIF(HostConfigData!L3:L2,"&gt;0")</f>
        <v>0</v>
      </c>
    </row>
    <row r="35" spans="1:2">
      <c r="A35" t="s">
        <v>194</v>
      </c>
      <c r="B35">
        <f>COUNTIF(HostConfigData!K3:K2,"&gt;0")</f>
        <v>0</v>
      </c>
    </row>
    <row r="36" spans="1:2">
      <c r="A36" t="s">
        <v>195</v>
      </c>
      <c r="B36">
        <f>COUNTIF(HostConfigData!J3:J2,"&gt;0")</f>
        <v>0</v>
      </c>
    </row>
    <row r="37" spans="1:2">
      <c r="A37" t="s">
        <v>196</v>
      </c>
      <c r="B37">
        <f>COUNTIF(HostConfigData!I3:I2,"&gt;0")</f>
        <v>0</v>
      </c>
    </row>
  </sheetData>
  <mergeCells count="2">
    <mergeCell ref="A1:B1"/>
    <mergeCell ref="A16:B16"/>
  </mergeCells>
  <hyperlinks>
    <hyperlink ref="A2" location="'host_scan_data'!A1" display="host_scan_data"/>
    <hyperlink ref="A3" location="'CVSS Score Total'!A1" display="CVSS Score Total"/>
    <hyperlink ref="A4" location="'Medium'!A1" display="Medium"/>
    <hyperlink ref="A5" location="'low'!A1" display="low"/>
    <hyperlink ref="A6" location="'Information'!A1" display="Information"/>
    <hyperlink ref="A7" location="'CPE Report Data'!A1" display="CPE Report Data"/>
    <hyperlink ref="A8" location="'Device Type'!A1" display="Device Type"/>
    <hyperlink ref="A9" location="'HostConfigData'!A1" display="HostConfigData"/>
    <hyperlink ref="A10" location="'UserAccountData'!A1" display="UserAccountData"/>
    <hyperlink ref="A11" location="'Summary Report Data'!A1" display="Summary Report Data"/>
    <hyperlink ref="A12" location="'Vulnerability to IP Summary'!A1" display="Vulnerability to IP Summary"/>
    <hyperlink ref="A13" location="'HostSummary Report Data'!A1" display="HostSummary Report Dat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0000"/>
  </sheetPr>
  <dimension ref="A1:T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25.7109375" customWidth="1"/>
    <col min="4" max="7" width="10.7109375" customWidth="1"/>
    <col min="8" max="8" width="30.7109375" customWidth="1"/>
    <col min="9" max="9" width="60.7109375" customWidth="1"/>
    <col min="10" max="16" width="30.7109375" customWidth="1"/>
    <col min="18" max="18" width="60.7109375" customWidth="1"/>
    <col min="19" max="19" width="15.7109375" customWidth="1"/>
    <col min="20" max="20" width="60.7109375" customWidth="1"/>
  </cols>
  <sheetData>
    <row r="1" spans="1:20">
      <c r="A1" s="2" t="s">
        <v>0</v>
      </c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3" t="s">
        <v>21</v>
      </c>
      <c r="B3" s="3" t="s">
        <v>22</v>
      </c>
      <c r="C3" s="3" t="s">
        <v>23</v>
      </c>
      <c r="D3" s="3">
        <v>99999</v>
      </c>
      <c r="E3" s="3" t="s">
        <v>24</v>
      </c>
      <c r="F3" s="3">
        <v>0</v>
      </c>
      <c r="G3" s="3">
        <v>0</v>
      </c>
      <c r="H3" s="3" t="s">
        <v>25</v>
      </c>
      <c r="I3" s="3" t="s">
        <v>26</v>
      </c>
      <c r="J3" s="3" t="s">
        <v>23</v>
      </c>
      <c r="K3" s="3" t="s">
        <v>23</v>
      </c>
      <c r="L3" s="3" t="s">
        <v>23</v>
      </c>
      <c r="M3" s="3" t="s">
        <v>23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/>
    </row>
    <row r="4" spans="1:20">
      <c r="A4" s="3" t="s">
        <v>21</v>
      </c>
      <c r="B4" s="3" t="s">
        <v>22</v>
      </c>
      <c r="C4" s="3" t="s">
        <v>23</v>
      </c>
      <c r="D4" s="3">
        <v>10001</v>
      </c>
      <c r="E4" s="3" t="s">
        <v>24</v>
      </c>
      <c r="F4" s="3">
        <v>0</v>
      </c>
      <c r="G4" s="3">
        <v>2</v>
      </c>
      <c r="H4" s="3" t="s">
        <v>25</v>
      </c>
      <c r="I4" s="3" t="s">
        <v>27</v>
      </c>
      <c r="J4" s="3" t="s">
        <v>23</v>
      </c>
      <c r="K4" s="3" t="s">
        <v>23</v>
      </c>
      <c r="L4" s="3" t="s">
        <v>23</v>
      </c>
      <c r="M4" s="3" t="s">
        <v>23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  <c r="T4" s="3"/>
    </row>
    <row r="5" spans="1:20">
      <c r="A5" s="3" t="s">
        <v>21</v>
      </c>
      <c r="B5" s="3" t="s">
        <v>22</v>
      </c>
      <c r="C5" s="3" t="s">
        <v>23</v>
      </c>
      <c r="D5" s="3">
        <v>20002</v>
      </c>
      <c r="E5" s="3" t="s">
        <v>24</v>
      </c>
      <c r="F5" s="3">
        <v>0</v>
      </c>
      <c r="G5" s="3">
        <v>1</v>
      </c>
      <c r="H5" s="3" t="s">
        <v>25</v>
      </c>
      <c r="I5" s="3" t="s">
        <v>28</v>
      </c>
      <c r="J5" s="3" t="s">
        <v>23</v>
      </c>
      <c r="K5" s="3" t="s">
        <v>23</v>
      </c>
      <c r="L5" s="3" t="s">
        <v>23</v>
      </c>
      <c r="M5" s="3" t="s">
        <v>23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  <c r="T5" s="3"/>
    </row>
    <row r="6" spans="1:20">
      <c r="A6" s="3" t="s">
        <v>21</v>
      </c>
      <c r="B6" s="3" t="s">
        <v>22</v>
      </c>
      <c r="C6" s="3" t="s">
        <v>23</v>
      </c>
      <c r="D6" s="3">
        <v>30003</v>
      </c>
      <c r="E6" s="3" t="s">
        <v>24</v>
      </c>
      <c r="F6" s="3">
        <v>22</v>
      </c>
      <c r="G6" s="3">
        <v>1</v>
      </c>
      <c r="H6" s="3" t="s">
        <v>25</v>
      </c>
      <c r="I6" s="3" t="s">
        <v>29</v>
      </c>
      <c r="J6" s="3" t="s">
        <v>23</v>
      </c>
      <c r="K6" s="3" t="s">
        <v>23</v>
      </c>
      <c r="L6" s="3" t="s">
        <v>23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  <c r="T6" s="3"/>
    </row>
    <row r="7" spans="1:20">
      <c r="A7" s="3" t="s">
        <v>21</v>
      </c>
      <c r="B7" s="3" t="s">
        <v>30</v>
      </c>
      <c r="C7" s="3" t="s">
        <v>23</v>
      </c>
      <c r="D7" s="3">
        <v>10002</v>
      </c>
      <c r="E7" s="3" t="s">
        <v>24</v>
      </c>
      <c r="F7" s="3">
        <v>0</v>
      </c>
      <c r="G7" s="3">
        <v>0</v>
      </c>
      <c r="H7" s="3" t="s">
        <v>31</v>
      </c>
      <c r="I7" s="3" t="s">
        <v>32</v>
      </c>
      <c r="J7" s="3" t="s">
        <v>23</v>
      </c>
      <c r="K7" s="3" t="s">
        <v>23</v>
      </c>
      <c r="L7" s="3" t="s">
        <v>23</v>
      </c>
      <c r="M7" s="3" t="s">
        <v>23</v>
      </c>
      <c r="N7" s="3" t="s">
        <v>23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  <c r="T7" s="3"/>
    </row>
    <row r="8" spans="1:20">
      <c r="A8" s="3" t="s">
        <v>21</v>
      </c>
      <c r="B8" s="3" t="s">
        <v>30</v>
      </c>
      <c r="C8" s="3" t="s">
        <v>23</v>
      </c>
      <c r="D8" s="3">
        <v>20003</v>
      </c>
      <c r="E8" s="3" t="s">
        <v>24</v>
      </c>
      <c r="F8" s="3">
        <v>0</v>
      </c>
      <c r="G8" s="3">
        <v>1</v>
      </c>
      <c r="H8" s="3" t="s">
        <v>31</v>
      </c>
      <c r="I8" s="3" t="s">
        <v>33</v>
      </c>
      <c r="J8" s="3" t="s">
        <v>23</v>
      </c>
      <c r="K8" s="3" t="s">
        <v>23</v>
      </c>
      <c r="L8" s="3" t="s">
        <v>23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  <c r="T8" s="3"/>
    </row>
  </sheetData>
  <autoFilter ref="A2:T2"/>
  <hyperlinks>
    <hyperlink ref="A1" location="'Home Worksheet'!A1" display="'Home Worksheet'!A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0" width="20.7109375" customWidth="1"/>
  </cols>
  <sheetData>
    <row r="1" spans="1:10">
      <c r="A1" s="2" t="s">
        <v>0</v>
      </c>
    </row>
    <row r="2" spans="1:10">
      <c r="B2" s="1" t="s">
        <v>44</v>
      </c>
      <c r="C2" s="1" t="s">
        <v>45</v>
      </c>
      <c r="D2" s="1" t="s">
        <v>46</v>
      </c>
    </row>
    <row r="3" spans="1:10">
      <c r="A3" s="1" t="s">
        <v>47</v>
      </c>
      <c r="B3" s="3">
        <v>1</v>
      </c>
      <c r="C3" s="3">
        <v>1</v>
      </c>
      <c r="D3" s="3">
        <v>1</v>
      </c>
    </row>
    <row r="5" spans="1:10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42</v>
      </c>
      <c r="J5" s="1" t="s">
        <v>43</v>
      </c>
    </row>
  </sheetData>
  <autoFilter ref="A5:T5"/>
  <hyperlinks>
    <hyperlink ref="A1" location="'Home Worksheet'!A1" display="'Home Worksheet'!A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FF00"/>
  </sheetPr>
  <dimension ref="A1:Z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5.7109375" customWidth="1"/>
    <col min="5" max="8" width="10.7109375" customWidth="1"/>
    <col min="9" max="18" width="35.7109375" customWidth="1"/>
    <col min="19" max="22" width="60.7109375" customWidth="1"/>
    <col min="23" max="26" width="20.7109375" customWidth="1"/>
  </cols>
  <sheetData>
    <row r="1" spans="1:26">
      <c r="A1" s="2" t="s">
        <v>0</v>
      </c>
    </row>
    <row r="2" spans="1:26">
      <c r="A2" s="1" t="s">
        <v>1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10</v>
      </c>
      <c r="J2" s="1" t="s">
        <v>11</v>
      </c>
      <c r="K2" s="1" t="s">
        <v>12</v>
      </c>
      <c r="L2" s="1" t="s">
        <v>55</v>
      </c>
      <c r="M2" s="1" t="s">
        <v>56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55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</row>
    <row r="3" spans="1:26">
      <c r="A3" s="3" t="s">
        <v>21</v>
      </c>
      <c r="B3" s="3" t="s">
        <v>25</v>
      </c>
      <c r="C3" s="3">
        <v>10001</v>
      </c>
      <c r="D3" s="3" t="s">
        <v>27</v>
      </c>
      <c r="E3" s="3">
        <v>1</v>
      </c>
      <c r="F3" s="3"/>
      <c r="G3" s="3"/>
      <c r="H3" s="3"/>
      <c r="I3" s="3" t="s">
        <v>23</v>
      </c>
      <c r="J3" s="3" t="s">
        <v>23</v>
      </c>
      <c r="K3" s="3" t="s">
        <v>23</v>
      </c>
      <c r="L3" s="3" t="s">
        <v>62</v>
      </c>
      <c r="M3" s="3" t="s">
        <v>63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 t="s">
        <v>62</v>
      </c>
      <c r="V3" s="3"/>
      <c r="W3" s="3"/>
      <c r="X3" s="3"/>
      <c r="Y3" s="3"/>
      <c r="Z3" s="3"/>
    </row>
  </sheetData>
  <autoFilter ref="A2:Z2"/>
  <hyperlinks>
    <hyperlink ref="A1" location="'Home Worksheet'!A1" display="'Home Worksheet'!A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8000"/>
  </sheetPr>
  <dimension ref="A1:Z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5.7109375" customWidth="1"/>
    <col min="5" max="8" width="10.7109375" customWidth="1"/>
    <col min="9" max="18" width="35.7109375" customWidth="1"/>
    <col min="19" max="22" width="60.7109375" customWidth="1"/>
    <col min="23" max="26" width="20.7109375" customWidth="1"/>
  </cols>
  <sheetData>
    <row r="1" spans="1:26">
      <c r="A1" s="2" t="s">
        <v>0</v>
      </c>
    </row>
    <row r="2" spans="1:26">
      <c r="A2" s="1" t="s">
        <v>1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10</v>
      </c>
      <c r="J2" s="1" t="s">
        <v>11</v>
      </c>
      <c r="K2" s="1" t="s">
        <v>12</v>
      </c>
      <c r="L2" s="1" t="s">
        <v>55</v>
      </c>
      <c r="M2" s="1" t="s">
        <v>56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55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</row>
    <row r="3" spans="1:26">
      <c r="A3" s="3" t="s">
        <v>21</v>
      </c>
      <c r="B3" s="3" t="s">
        <v>25</v>
      </c>
      <c r="C3" s="3">
        <v>20002</v>
      </c>
      <c r="D3" s="3" t="s">
        <v>28</v>
      </c>
      <c r="E3" s="3">
        <v>1</v>
      </c>
      <c r="F3" s="3"/>
      <c r="G3" s="3"/>
      <c r="H3" s="3"/>
      <c r="I3" s="3" t="s">
        <v>23</v>
      </c>
      <c r="J3" s="3" t="s">
        <v>23</v>
      </c>
      <c r="K3" s="3" t="s">
        <v>23</v>
      </c>
      <c r="L3" s="3"/>
      <c r="M3" s="3" t="s">
        <v>64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/>
      <c r="V3" s="3"/>
      <c r="W3" s="3"/>
      <c r="X3" s="3"/>
      <c r="Y3" s="3"/>
      <c r="Z3" s="3"/>
    </row>
    <row r="4" spans="1:26">
      <c r="A4" s="3" t="s">
        <v>21</v>
      </c>
      <c r="B4" s="3" t="s">
        <v>25</v>
      </c>
      <c r="C4" s="3">
        <v>30003</v>
      </c>
      <c r="D4" s="3" t="s">
        <v>29</v>
      </c>
      <c r="E4" s="3">
        <v>1</v>
      </c>
      <c r="F4" s="3"/>
      <c r="G4" s="3"/>
      <c r="H4" s="3"/>
      <c r="I4" s="3" t="s">
        <v>23</v>
      </c>
      <c r="J4" s="3" t="s">
        <v>23</v>
      </c>
      <c r="K4" s="3" t="s">
        <v>23</v>
      </c>
      <c r="L4" s="3"/>
      <c r="M4" s="3" t="s">
        <v>65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  <c r="T4" s="3" t="s">
        <v>23</v>
      </c>
      <c r="U4" s="3"/>
      <c r="V4" s="3"/>
      <c r="W4" s="3"/>
      <c r="X4" s="3"/>
      <c r="Y4" s="3"/>
      <c r="Z4" s="3"/>
    </row>
    <row r="5" spans="1:26">
      <c r="A5" s="3" t="s">
        <v>21</v>
      </c>
      <c r="B5" s="3" t="s">
        <v>31</v>
      </c>
      <c r="C5" s="3">
        <v>20003</v>
      </c>
      <c r="D5" s="3" t="s">
        <v>33</v>
      </c>
      <c r="E5" s="3">
        <v>1</v>
      </c>
      <c r="F5" s="3"/>
      <c r="G5" s="3"/>
      <c r="H5" s="3"/>
      <c r="I5" s="3" t="s">
        <v>23</v>
      </c>
      <c r="J5" s="3" t="s">
        <v>23</v>
      </c>
      <c r="K5" s="3" t="s">
        <v>23</v>
      </c>
      <c r="L5" s="3"/>
      <c r="M5" s="3" t="s">
        <v>66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  <c r="T5" s="3" t="s">
        <v>23</v>
      </c>
      <c r="U5" s="3"/>
      <c r="V5" s="3"/>
      <c r="W5" s="3"/>
      <c r="X5" s="3"/>
      <c r="Y5" s="3"/>
      <c r="Z5" s="3"/>
    </row>
  </sheetData>
  <autoFilter ref="A2:Z2"/>
  <hyperlinks>
    <hyperlink ref="A1" location="'Home Worksheet'!A1" display="'Home Worksheet'!A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00FF"/>
  </sheetPr>
  <dimension ref="A1:Z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5.7109375" customWidth="1"/>
    <col min="5" max="8" width="10.7109375" customWidth="1"/>
    <col min="9" max="18" width="35.7109375" customWidth="1"/>
    <col min="19" max="22" width="60.7109375" customWidth="1"/>
    <col min="23" max="26" width="20.7109375" customWidth="1"/>
  </cols>
  <sheetData>
    <row r="1" spans="1:26">
      <c r="A1" s="2" t="s">
        <v>0</v>
      </c>
    </row>
    <row r="2" spans="1:26">
      <c r="A2" s="1" t="s">
        <v>1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I2" s="1" t="s">
        <v>10</v>
      </c>
      <c r="J2" s="1" t="s">
        <v>11</v>
      </c>
      <c r="K2" s="1" t="s">
        <v>12</v>
      </c>
      <c r="L2" s="1" t="s">
        <v>55</v>
      </c>
      <c r="M2" s="1" t="s">
        <v>56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55</v>
      </c>
      <c r="V2" s="1" t="s">
        <v>57</v>
      </c>
      <c r="W2" s="1" t="s">
        <v>58</v>
      </c>
      <c r="X2" s="1" t="s">
        <v>59</v>
      </c>
      <c r="Y2" s="1" t="s">
        <v>60</v>
      </c>
      <c r="Z2" s="1" t="s">
        <v>61</v>
      </c>
    </row>
    <row r="3" spans="1:26">
      <c r="A3" s="3" t="s">
        <v>21</v>
      </c>
      <c r="B3" s="3" t="s">
        <v>25</v>
      </c>
      <c r="C3" s="3">
        <v>99999</v>
      </c>
      <c r="D3" s="3" t="s">
        <v>26</v>
      </c>
      <c r="E3" s="3">
        <v>1</v>
      </c>
      <c r="F3" s="3"/>
      <c r="G3" s="3"/>
      <c r="H3" s="3"/>
      <c r="I3" s="3" t="s">
        <v>23</v>
      </c>
      <c r="J3" s="3" t="s">
        <v>23</v>
      </c>
      <c r="K3" s="3" t="s">
        <v>23</v>
      </c>
      <c r="L3" s="3"/>
      <c r="M3" s="3" t="s">
        <v>67</v>
      </c>
      <c r="N3" s="3" t="s">
        <v>23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  <c r="T3" s="3" t="s">
        <v>23</v>
      </c>
      <c r="U3" s="3"/>
      <c r="V3" s="3"/>
      <c r="W3" s="3"/>
      <c r="X3" s="3"/>
      <c r="Y3" s="3"/>
      <c r="Z3" s="3"/>
    </row>
    <row r="4" spans="1:26">
      <c r="A4" s="3" t="s">
        <v>21</v>
      </c>
      <c r="B4" s="3" t="s">
        <v>31</v>
      </c>
      <c r="C4" s="3">
        <v>10002</v>
      </c>
      <c r="D4" s="3" t="s">
        <v>32</v>
      </c>
      <c r="E4" s="3">
        <v>1</v>
      </c>
      <c r="F4" s="3"/>
      <c r="G4" s="3"/>
      <c r="H4" s="3"/>
      <c r="I4" s="3" t="s">
        <v>23</v>
      </c>
      <c r="J4" s="3" t="s">
        <v>23</v>
      </c>
      <c r="K4" s="3" t="s">
        <v>23</v>
      </c>
      <c r="L4" s="3"/>
      <c r="M4" s="3" t="s">
        <v>68</v>
      </c>
      <c r="N4" s="3" t="s">
        <v>23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  <c r="T4" s="3" t="s">
        <v>23</v>
      </c>
      <c r="U4" s="3"/>
      <c r="V4" s="3"/>
      <c r="W4" s="3"/>
      <c r="X4" s="3"/>
      <c r="Y4" s="3"/>
      <c r="Z4" s="3"/>
    </row>
  </sheetData>
  <autoFilter ref="A2:Z2"/>
  <hyperlinks>
    <hyperlink ref="A1" location="'Home Worksheet'!A1" display="'Home Worksheet'!A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25.7109375" customWidth="1"/>
    <col min="4" max="7" width="15.7109375" customWidth="1"/>
    <col min="8" max="9" width="35.7109375" customWidth="1"/>
    <col min="10" max="26" width="20.7109375" customWidth="1"/>
  </cols>
  <sheetData>
    <row r="1" spans="1:10">
      <c r="A1" s="2" t="s">
        <v>0</v>
      </c>
    </row>
    <row r="2" spans="1:10">
      <c r="A2" s="1" t="s">
        <v>1</v>
      </c>
      <c r="B2" s="1" t="s">
        <v>2</v>
      </c>
      <c r="C2" s="1" t="s">
        <v>3</v>
      </c>
      <c r="D2" s="1" t="s">
        <v>69</v>
      </c>
      <c r="E2" s="1" t="s">
        <v>70</v>
      </c>
      <c r="F2" s="1" t="s">
        <v>8</v>
      </c>
      <c r="G2" s="1" t="s">
        <v>4</v>
      </c>
      <c r="H2" s="1" t="s">
        <v>9</v>
      </c>
      <c r="I2" s="1" t="s">
        <v>71</v>
      </c>
      <c r="J2" s="1" t="s">
        <v>72</v>
      </c>
    </row>
  </sheetData>
  <autoFilter ref="A2:Z2"/>
  <hyperlinks>
    <hyperlink ref="A1" location="'Home Worksheet'!A1" display="'Home Worksheet'!A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25.7109375" customWidth="1"/>
    <col min="4" max="7" width="15.7109375" customWidth="1"/>
    <col min="8" max="9" width="35.7109375" customWidth="1"/>
    <col min="10" max="26" width="20.7109375" customWidth="1"/>
  </cols>
  <sheetData>
    <row r="1" spans="1:7">
      <c r="A1" s="2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69</v>
      </c>
      <c r="E2" s="1" t="s">
        <v>70</v>
      </c>
      <c r="F2" s="1" t="s">
        <v>73</v>
      </c>
      <c r="G2" s="1" t="s">
        <v>74</v>
      </c>
    </row>
  </sheetData>
  <autoFilter ref="A2:Z2"/>
  <hyperlinks>
    <hyperlink ref="A1" location="'Home Worksheet'!A1" display="'Home Worksheet'!A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20.7109375" customWidth="1"/>
    <col min="2" max="2" width="15.7109375" customWidth="1"/>
    <col min="3" max="3" width="25.7109375" customWidth="1"/>
    <col min="4" max="8" width="15.7109375" customWidth="1"/>
    <col min="9" max="26" width="20.7109375" customWidth="1"/>
  </cols>
  <sheetData>
    <row r="1" spans="1:22">
      <c r="A1" s="2" t="s">
        <v>0</v>
      </c>
    </row>
    <row r="2" spans="1:22">
      <c r="A2" s="1" t="s">
        <v>1</v>
      </c>
      <c r="B2" s="1" t="s">
        <v>2</v>
      </c>
      <c r="C2" s="1" t="s">
        <v>3</v>
      </c>
      <c r="D2" s="1" t="s">
        <v>69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85</v>
      </c>
      <c r="P2" s="1" t="s">
        <v>86</v>
      </c>
      <c r="Q2" s="1" t="s">
        <v>87</v>
      </c>
      <c r="R2" s="1" t="s">
        <v>88</v>
      </c>
      <c r="S2" s="1" t="s">
        <v>89</v>
      </c>
      <c r="T2" s="1" t="s">
        <v>90</v>
      </c>
      <c r="U2" s="1" t="s">
        <v>91</v>
      </c>
      <c r="V2" s="1" t="s">
        <v>92</v>
      </c>
    </row>
    <row r="3" spans="1:22">
      <c r="A3" s="3" t="s">
        <v>21</v>
      </c>
      <c r="B3" s="3"/>
      <c r="C3" s="3" t="s">
        <v>23</v>
      </c>
      <c r="D3" s="3"/>
      <c r="E3" s="3" t="s">
        <v>93</v>
      </c>
      <c r="F3" s="3"/>
      <c r="G3" s="3" t="s">
        <v>94</v>
      </c>
      <c r="H3" s="3" t="s">
        <v>22</v>
      </c>
      <c r="I3" s="3">
        <v>1</v>
      </c>
      <c r="J3" s="3">
        <v>2</v>
      </c>
      <c r="K3" s="3">
        <v>1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</row>
    <row r="4" spans="1:22">
      <c r="A4" s="3" t="s">
        <v>21</v>
      </c>
      <c r="B4" s="3"/>
      <c r="C4" s="3" t="s">
        <v>23</v>
      </c>
      <c r="D4" s="3"/>
      <c r="E4" s="3" t="s">
        <v>95</v>
      </c>
      <c r="F4" s="3"/>
      <c r="G4" s="3"/>
      <c r="H4" s="3" t="s">
        <v>30</v>
      </c>
      <c r="I4" s="3">
        <v>1</v>
      </c>
      <c r="J4" s="3">
        <v>1</v>
      </c>
      <c r="K4" s="3">
        <v>0</v>
      </c>
      <c r="L4" s="3">
        <v>0</v>
      </c>
      <c r="M4" s="3">
        <v>0</v>
      </c>
      <c r="N4" s="3"/>
      <c r="O4" s="3"/>
      <c r="P4" s="3"/>
      <c r="Q4" s="3"/>
      <c r="R4" s="3"/>
      <c r="S4" s="3"/>
      <c r="T4" s="3"/>
      <c r="U4" s="3"/>
      <c r="V4" s="3"/>
    </row>
  </sheetData>
  <autoFilter ref="A2:Z2"/>
  <hyperlinks>
    <hyperlink ref="A1" location="'Home Worksheet'!A1" display="'Home Worksheet'!A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9" width="20.7109375" customWidth="1"/>
  </cols>
  <sheetData>
    <row r="1" spans="1:17">
      <c r="A1" s="2" t="s">
        <v>0</v>
      </c>
    </row>
    <row r="2" spans="1:17">
      <c r="A2" s="1" t="s">
        <v>96</v>
      </c>
      <c r="B2" s="1" t="s">
        <v>70</v>
      </c>
      <c r="C2" s="1" t="s">
        <v>97</v>
      </c>
      <c r="D2" s="1" t="s">
        <v>98</v>
      </c>
      <c r="E2" s="1" t="s">
        <v>99</v>
      </c>
      <c r="F2" s="1" t="s">
        <v>100</v>
      </c>
      <c r="G2" s="1" t="s">
        <v>101</v>
      </c>
      <c r="H2" s="1" t="s">
        <v>99</v>
      </c>
      <c r="I2" s="1" t="s">
        <v>102</v>
      </c>
      <c r="J2" s="1" t="s">
        <v>103</v>
      </c>
      <c r="K2" s="1" t="s">
        <v>104</v>
      </c>
      <c r="L2" s="1" t="s">
        <v>105</v>
      </c>
      <c r="M2" s="1" t="s">
        <v>106</v>
      </c>
      <c r="N2" s="1" t="s">
        <v>107</v>
      </c>
      <c r="O2" s="1" t="s">
        <v>108</v>
      </c>
      <c r="P2" s="1" t="s">
        <v>109</v>
      </c>
      <c r="Q2" s="1" t="s">
        <v>110</v>
      </c>
    </row>
  </sheetData>
  <autoFilter ref="A2:S2"/>
  <hyperlinks>
    <hyperlink ref="A1" location="'Home Worksheet'!A1" display="'Home Worksheet'!A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cols>
    <col min="1" max="13" width="20.7109375" customWidth="1"/>
  </cols>
  <sheetData>
    <row r="1" spans="1:15">
      <c r="A1" s="2" t="s">
        <v>0</v>
      </c>
    </row>
    <row r="2" spans="1:15">
      <c r="A2" s="1" t="s">
        <v>111</v>
      </c>
      <c r="B2" s="1"/>
      <c r="C2" s="1"/>
      <c r="D2" s="1"/>
    </row>
    <row r="3" spans="1:15">
      <c r="A3" s="1"/>
      <c r="B3" s="1" t="s">
        <v>112</v>
      </c>
      <c r="C3" s="1" t="s">
        <v>99</v>
      </c>
      <c r="D3" s="1" t="s">
        <v>100</v>
      </c>
      <c r="E3" s="1" t="s">
        <v>101</v>
      </c>
      <c r="F3" s="1" t="s">
        <v>99</v>
      </c>
      <c r="G3" s="1" t="s">
        <v>102</v>
      </c>
      <c r="H3" s="1" t="s">
        <v>103</v>
      </c>
      <c r="I3" s="1" t="s">
        <v>104</v>
      </c>
      <c r="J3" s="1" t="s">
        <v>105</v>
      </c>
      <c r="K3" s="1" t="s">
        <v>106</v>
      </c>
      <c r="L3" s="1" t="s">
        <v>107</v>
      </c>
      <c r="M3" s="1" t="s">
        <v>108</v>
      </c>
      <c r="N3" s="1" t="s">
        <v>109</v>
      </c>
      <c r="O3" s="1" t="s">
        <v>110</v>
      </c>
    </row>
    <row r="4" spans="1:15">
      <c r="A4" s="3" t="s">
        <v>113</v>
      </c>
      <c r="B4" s="3">
        <f>COUNTIF(UserAccountData!$D$3:$D$2,A4)</f>
        <v>0</v>
      </c>
      <c r="C4" s="3">
        <f>SUMPRODUCT(--(UserAccountData!$D$3:$D$2 = A4)*--(UserAccountData!$E$3:$E$2 ="Y"))</f>
        <v>0</v>
      </c>
      <c r="D4" s="3">
        <f>SUMPRODUCT(--(UserAccountData!$D$3:$D$2 = A4)*--(UserAccountData!$F$3:$F$2 ="Y"))</f>
        <v>0</v>
      </c>
      <c r="E4" s="3">
        <f>SUMPRODUCT(--(UserAccountData!$D$3:$D$2 = A4)*--(UserAccountData!$G$3:$G$2 ="Y"))</f>
        <v>0</v>
      </c>
      <c r="F4" s="3">
        <f>SUMPRODUCT(--(UserAccountData!$D$3:$D$2 = A4)*--(UserAccountData!$H$3:$H$2 ="Y"))</f>
        <v>0</v>
      </c>
      <c r="G4" s="3">
        <f>SUMPRODUCT(--(UserAccountData!$D$3:$D$2 = A4)*--(UserAccountData!$I$3:$I$2 ="Y"))</f>
        <v>0</v>
      </c>
      <c r="H4" s="3">
        <f>SUMPRODUCT(--(UserAccountData!$D$3:$D$2 = A4)*--(UserAccountData!$J$3:$J$2 ="Y"))</f>
        <v>0</v>
      </c>
      <c r="I4" s="3">
        <f>SUMPRODUCT(--(UserAccountData!$D$3:$D$2 = A4)*--(UserAccountData!$K$3:$K$2 ="Y"))</f>
        <v>0</v>
      </c>
      <c r="J4" s="3">
        <f>SUMPRODUCT(--(UserAccountData!$D$3:$D$2 = A4)*--(UserAccountData!$L$3:$L$2 ="Y"))</f>
        <v>0</v>
      </c>
      <c r="K4" s="3">
        <f>SUMPRODUCT(--(UserAccountData!$D$3:$D$2 = A4)*--(UserAccountData!$M$3:$M$2 ="Y"))</f>
        <v>0</v>
      </c>
      <c r="L4" s="3">
        <f>SUMPRODUCT(--(UserAccountData!$D$3:$D$2 = A4)*--(UserAccountData!$N$3:$N$2 ="Y"))</f>
        <v>0</v>
      </c>
      <c r="M4" s="3">
        <f>SUMPRODUCT(--(UserAccountData!$D$3:$D$2 = A4)*--(UserAccountData!$O$3:$O$2 ="Y"))</f>
        <v>0</v>
      </c>
      <c r="N4" s="3">
        <f>SUMPRODUCT(--(UserAccountData!$D$3:$D$2 = A4)*--(UserAccountData!$P$3:$P$2 ="Y"))</f>
        <v>0</v>
      </c>
      <c r="O4" s="3">
        <f>SUMPRODUCT(--(UserAccountData!$D$3:$D$2 = A4)*--(UserAccountData!$Q$3:$Q$2 ="Y"))</f>
        <v>0</v>
      </c>
    </row>
    <row r="5" spans="1:15">
      <c r="A5" s="3" t="s">
        <v>114</v>
      </c>
      <c r="B5" s="3">
        <f>COUNTIF(UserAccountData!$D$3:$D$2,A5)</f>
        <v>0</v>
      </c>
      <c r="C5" s="3">
        <f>SUMPRODUCT(--(UserAccountData!$D$3:$D$2 = A5),--(UserAccountData!$E$3:$E$2 ="Y"))</f>
        <v>0</v>
      </c>
      <c r="D5" s="3">
        <f>SUMPRODUCT(--(UserAccountData!$D$3:$D$2 = A5),--(UserAccountData!$F$3:$F$2 ="Y"))</f>
        <v>0</v>
      </c>
      <c r="E5" s="3">
        <f>SUMPRODUCT(--(UserAccountData!$D$3:$D$2 = A5),--(UserAccountData!$G$3:$G$2 ="Y"))</f>
        <v>0</v>
      </c>
      <c r="F5" s="3">
        <f>SUMPRODUCT(--(UserAccountData!$D$3:$D$2 = A5),--(UserAccountData!$H$3:$H$2 ="Y"))</f>
        <v>0</v>
      </c>
      <c r="G5" s="3">
        <f>SUMPRODUCT(--(UserAccountData!$D$3:$D$2 = A5),--(UserAccountData!$I$3:$I$2 ="Y"))</f>
        <v>0</v>
      </c>
      <c r="H5" s="3">
        <f>SUMPRODUCT(--(UserAccountData!$D$3:$D$2 = A5),--(UserAccountData!$J$3:$J$2 ="Y"))</f>
        <v>0</v>
      </c>
      <c r="I5" s="3">
        <f>SUMPRODUCT(--(UserAccountData!$D$3:$D$2 = A5),--(UserAccountData!$K$3:$K$2 ="Y"))</f>
        <v>0</v>
      </c>
      <c r="J5" s="3">
        <f>SUMPRODUCT(--(UserAccountData!$D$3:$D$2 = A5),--(UserAccountData!$L$3:$L$2 ="Y"))</f>
        <v>0</v>
      </c>
      <c r="K5" s="3">
        <f>SUMPRODUCT(--(UserAccountData!$D$3:$D$2 = A5),--(UserAccountData!$M$3:$M$2 ="Y"))</f>
        <v>0</v>
      </c>
      <c r="L5" s="3">
        <f>SUMPRODUCT(--(UserAccountData!$D$3:$D$2 = A5),--(UserAccountData!$N$3:$N$2 ="Y"))</f>
        <v>0</v>
      </c>
      <c r="M5" s="3">
        <f>SUMPRODUCT(--(UserAccountData!$D$3:$D$2 = A5),--(UserAccountData!$O$3:$O$2 ="Y"))</f>
        <v>0</v>
      </c>
      <c r="N5" s="3">
        <f>SUMPRODUCT(--(UserAccountData!$D$3:$D$2 = A5),--(UserAccountData!$P$3:$P$2 ="Y"))</f>
        <v>0</v>
      </c>
      <c r="O5" s="3">
        <f>SUMPRODUCT(--(UserAccountData!$D$3:$D$2 = A5),--(UserAccountData!$Q$3:$Q$2 ="Y"))</f>
        <v>0</v>
      </c>
    </row>
    <row r="6" spans="1:15">
      <c r="A6" s="3" t="s">
        <v>115</v>
      </c>
      <c r="B6" s="3">
        <f>COUNTIF(UserAccountData!$D$3:$D$2,A6)</f>
        <v>0</v>
      </c>
      <c r="C6" s="3">
        <f>SUMPRODUCT(--(UserAccountData!$D$3:$D$2 = A6),--(UserAccountData!$E$3:$E$2 ="Y"))</f>
        <v>0</v>
      </c>
      <c r="D6" s="3">
        <f>SUMPRODUCT(--(UserAccountData!$D$3:$D$2 = A6),--(UserAccountData!$F$3:$F$2 ="Y"))</f>
        <v>0</v>
      </c>
      <c r="E6" s="3">
        <f>SUMPRODUCT(--(UserAccountData!$D$3:$D$2 = A6),--(UserAccountData!$G$3:$G$2 ="Y"))</f>
        <v>0</v>
      </c>
      <c r="F6" s="3">
        <f>SUMPRODUCT(--(UserAccountData!$D$3:$D$2 = A6),--(UserAccountData!$H$3:$H$2 ="Y"))</f>
        <v>0</v>
      </c>
      <c r="G6" s="3">
        <f>SUMPRODUCT(--(UserAccountData!$D$3:$D$2 = A6),--(UserAccountData!$I$3:$I$2 ="Y"))</f>
        <v>0</v>
      </c>
      <c r="H6" s="3">
        <f>SUMPRODUCT(--(UserAccountData!$D$3:$D$2 = A6),--(UserAccountData!$J$3:$J$2 ="Y"))</f>
        <v>0</v>
      </c>
      <c r="I6" s="3">
        <f>SUMPRODUCT(--(UserAccountData!$D$3:$D$2 = A6),--(UserAccountData!$K$3:$K$2 ="Y"))</f>
        <v>0</v>
      </c>
      <c r="J6" s="3">
        <f>SUMPRODUCT(--(UserAccountData!$D$3:$D$2 = A6),--(UserAccountData!$L$3:$L$2 ="Y"))</f>
        <v>0</v>
      </c>
      <c r="K6" s="3">
        <f>SUMPRODUCT(--(UserAccountData!$D$3:$D$2 = A6),--(UserAccountData!$M$3:$M$2 ="Y"))</f>
        <v>0</v>
      </c>
      <c r="L6" s="3">
        <f>SUMPRODUCT(--(UserAccountData!$D$3:$D$2 = A6),--(UserAccountData!$N$3:$N$2 ="Y"))</f>
        <v>0</v>
      </c>
      <c r="M6" s="3">
        <f>SUMPRODUCT(--(UserAccountData!$D$3:$D$2 = A6),--(UserAccountData!$O$3:$O$2 ="Y"))</f>
        <v>0</v>
      </c>
      <c r="N6" s="3">
        <f>SUMPRODUCT(--(UserAccountData!$D$3:$D$2 = A6),--(UserAccountData!$P$3:$P$2 ="Y"))</f>
        <v>0</v>
      </c>
      <c r="O6" s="3">
        <f>SUMPRODUCT(--(UserAccountData!$D$3:$D$2 = A6),--(UserAccountData!$Q$3:$Q$2 ="Y"))</f>
        <v>0</v>
      </c>
    </row>
    <row r="7" spans="1:15">
      <c r="A7" s="3" t="s">
        <v>116</v>
      </c>
      <c r="B7" s="3">
        <f>COUNTIF(UserAccountData!$D$3:$D$2,A7)</f>
        <v>0</v>
      </c>
      <c r="C7" s="3">
        <f>SUMPRODUCT(--(UserAccountData!$D$3:$D$2 = A7),--(UserAccountData!$E$3:$E$2 ="Y"))</f>
        <v>0</v>
      </c>
      <c r="D7" s="3">
        <f>SUMPRODUCT(--(UserAccountData!$D$3:$D$2 = A7),--(UserAccountData!$F$3:$F$2 ="Y"))</f>
        <v>0</v>
      </c>
      <c r="E7" s="3">
        <f>SUMPRODUCT(--(UserAccountData!$D$3:$D$2 = A7),--(UserAccountData!$G$3:$G$2 ="Y"))</f>
        <v>0</v>
      </c>
      <c r="F7" s="3">
        <f>SUMPRODUCT(--(UserAccountData!$D$3:$D$2 = A7),--(UserAccountData!$H$3:$H$2 ="Y"))</f>
        <v>0</v>
      </c>
      <c r="G7" s="3">
        <f>SUMPRODUCT(--(UserAccountData!$D$3:$D$2 = A7),--(UserAccountData!$I$3:$I$2 ="Y"))</f>
        <v>0</v>
      </c>
      <c r="H7" s="3">
        <f>SUMPRODUCT(--(UserAccountData!$D$3:$D$2 = A7),--(UserAccountData!$J$3:$J$2 ="Y"))</f>
        <v>0</v>
      </c>
      <c r="I7" s="3">
        <f>SUMPRODUCT(--(UserAccountData!$D$3:$D$2 = A7),--(UserAccountData!$K$3:$K$2 ="Y"))</f>
        <v>0</v>
      </c>
      <c r="J7" s="3">
        <f>SUMPRODUCT(--(UserAccountData!$D$3:$D$2 = A7),--(UserAccountData!$L$3:$L$2 ="Y"))</f>
        <v>0</v>
      </c>
      <c r="K7" s="3">
        <f>SUMPRODUCT(--(UserAccountData!$D$3:$D$2 = A7),--(UserAccountData!$M$3:$M$2 ="Y"))</f>
        <v>0</v>
      </c>
      <c r="L7" s="3">
        <f>SUMPRODUCT(--(UserAccountData!$D$3:$D$2 = A7),--(UserAccountData!$N$3:$N$2 ="Y"))</f>
        <v>0</v>
      </c>
      <c r="M7" s="3">
        <f>SUMPRODUCT(--(UserAccountData!$D$3:$D$2 = A7),--(UserAccountData!$O$3:$O$2 ="Y"))</f>
        <v>0</v>
      </c>
      <c r="N7" s="3">
        <f>SUMPRODUCT(--(UserAccountData!$D$3:$D$2 = A7),--(UserAccountData!$P$3:$P$2 ="Y"))</f>
        <v>0</v>
      </c>
      <c r="O7" s="3">
        <f>SUMPRODUCT(--(UserAccountData!$D$3:$D$2 = A7),--(UserAccountData!$Q$3:$Q$2 ="Y"))</f>
        <v>0</v>
      </c>
    </row>
    <row r="8" spans="1:15">
      <c r="A8" s="3" t="s">
        <v>117</v>
      </c>
      <c r="B8" s="3">
        <f>COUNTIF(UserAccountData!$D$3:$D$2,A8)</f>
        <v>0</v>
      </c>
      <c r="C8" s="3">
        <f>SUMPRODUCT(--(UserAccountData!$D$3:$D$2 = A8),--(UserAccountData!$E$3:$E$2 ="Y"))</f>
        <v>0</v>
      </c>
      <c r="D8" s="3">
        <f>SUMPRODUCT(--(UserAccountData!$D$3:$D$2 = A8),--(UserAccountData!$F$3:$F$2 ="Y"))</f>
        <v>0</v>
      </c>
      <c r="E8" s="3">
        <f>SUMPRODUCT(--(UserAccountData!$D$3:$D$2 = A8),--(UserAccountData!$G$3:$G$2 ="Y"))</f>
        <v>0</v>
      </c>
      <c r="F8" s="3">
        <f>SUMPRODUCT(--(UserAccountData!$D$3:$D$2 = A8),--(UserAccountData!$H$3:$H$2 ="Y"))</f>
        <v>0</v>
      </c>
      <c r="G8" s="3">
        <f>SUMPRODUCT(--(UserAccountData!$D$3:$D$2 = A8),--(UserAccountData!$I$3:$I$2 ="Y"))</f>
        <v>0</v>
      </c>
      <c r="H8" s="3">
        <f>SUMPRODUCT(--(UserAccountData!$D$3:$D$2 = A8),--(UserAccountData!$J$3:$J$2 ="Y"))</f>
        <v>0</v>
      </c>
      <c r="I8" s="3">
        <f>SUMPRODUCT(--(UserAccountData!$D$3:$D$2 = A8),--(UserAccountData!$K$3:$K$2 ="Y"))</f>
        <v>0</v>
      </c>
      <c r="J8" s="3">
        <f>SUMPRODUCT(--(UserAccountData!$D$3:$D$2 = A8),--(UserAccountData!$L$3:$L$2 ="Y"))</f>
        <v>0</v>
      </c>
      <c r="K8" s="3">
        <f>SUMPRODUCT(--(UserAccountData!$D$3:$D$2 = A8),--(UserAccountData!$M$3:$M$2 ="Y"))</f>
        <v>0</v>
      </c>
      <c r="L8" s="3">
        <f>SUMPRODUCT(--(UserAccountData!$D$3:$D$2 = A8),--(UserAccountData!$N$3:$N$2 ="Y"))</f>
        <v>0</v>
      </c>
      <c r="M8" s="3">
        <f>SUMPRODUCT(--(UserAccountData!$D$3:$D$2 = A8),--(UserAccountData!$O$3:$O$2 ="Y"))</f>
        <v>0</v>
      </c>
      <c r="N8" s="3">
        <f>SUMPRODUCT(--(UserAccountData!$D$3:$D$2 = A8),--(UserAccountData!$P$3:$P$2 ="Y"))</f>
        <v>0</v>
      </c>
      <c r="O8" s="3">
        <f>SUMPRODUCT(--(UserAccountData!$D$3:$D$2 = A8),--(UserAccountData!$Q$3:$Q$2 ="Y"))</f>
        <v>0</v>
      </c>
    </row>
    <row r="9" spans="1:15">
      <c r="A9" s="3" t="s">
        <v>118</v>
      </c>
      <c r="B9" s="3">
        <f>COUNTIF(UserAccountData!$D$3:$D$2,A9)</f>
        <v>0</v>
      </c>
      <c r="C9" s="3">
        <f>SUMPRODUCT(--(UserAccountData!$D$3:$D$2 = A9),--(UserAccountData!$E$3:$E$2 ="Y"))</f>
        <v>0</v>
      </c>
      <c r="D9" s="3">
        <f>SUMPRODUCT(--(UserAccountData!$D$3:$D$2 = A9),--(UserAccountData!$F$3:$F$2 ="Y"))</f>
        <v>0</v>
      </c>
      <c r="E9" s="3">
        <f>SUMPRODUCT(--(UserAccountData!$D$3:$D$2 = A9),--(UserAccountData!$G$3:$G$2 ="Y"))</f>
        <v>0</v>
      </c>
      <c r="F9" s="3">
        <f>SUMPRODUCT(--(UserAccountData!$D$3:$D$2 = A9),--(UserAccountData!$H$3:$H$2 ="Y"))</f>
        <v>0</v>
      </c>
      <c r="G9" s="3">
        <f>SUMPRODUCT(--(UserAccountData!$D$3:$D$2 = A9),--(UserAccountData!$I$3:$I$2 ="Y"))</f>
        <v>0</v>
      </c>
      <c r="H9" s="3">
        <f>SUMPRODUCT(--(UserAccountData!$D$3:$D$2 = A9),--(UserAccountData!$J$3:$J$2 ="Y"))</f>
        <v>0</v>
      </c>
      <c r="I9" s="3">
        <f>SUMPRODUCT(--(UserAccountData!$D$3:$D$2 = A9),--(UserAccountData!$K$3:$K$2 ="Y"))</f>
        <v>0</v>
      </c>
      <c r="J9" s="3">
        <f>SUMPRODUCT(--(UserAccountData!$D$3:$D$2 = A9),--(UserAccountData!$L$3:$L$2 ="Y"))</f>
        <v>0</v>
      </c>
      <c r="K9" s="3">
        <f>SUMPRODUCT(--(UserAccountData!$D$3:$D$2 = A9),--(UserAccountData!$M$3:$M$2 ="Y"))</f>
        <v>0</v>
      </c>
      <c r="L9" s="3">
        <f>SUMPRODUCT(--(UserAccountData!$D$3:$D$2 = A9),--(UserAccountData!$N$3:$N$2 ="Y"))</f>
        <v>0</v>
      </c>
      <c r="M9" s="3">
        <f>SUMPRODUCT(--(UserAccountData!$D$3:$D$2 = A9),--(UserAccountData!$O$3:$O$2 ="Y"))</f>
        <v>0</v>
      </c>
      <c r="N9" s="3">
        <f>SUMPRODUCT(--(UserAccountData!$D$3:$D$2 = A9),--(UserAccountData!$P$3:$P$2 ="Y"))</f>
        <v>0</v>
      </c>
      <c r="O9" s="3">
        <f>SUMPRODUCT(--(UserAccountData!$D$3:$D$2 = A9),--(UserAccountData!$Q$3:$Q$2 ="Y"))</f>
        <v>0</v>
      </c>
    </row>
    <row r="10" spans="1:15">
      <c r="A10" s="3" t="s">
        <v>119</v>
      </c>
      <c r="B10" s="3">
        <f>COUNTIF(UserAccountData!$D$3:$D$2,A10)</f>
        <v>0</v>
      </c>
      <c r="C10" s="3">
        <f>SUMPRODUCT(--(UserAccountData!$D$3:$D$2 = A10),--(UserAccountData!$E$3:$E$2 ="Y"))</f>
        <v>0</v>
      </c>
      <c r="D10" s="3">
        <f>SUMPRODUCT(--(UserAccountData!$D$3:$D$2 = A10),--(UserAccountData!$F$3:$F$2 ="Y"))</f>
        <v>0</v>
      </c>
      <c r="E10" s="3">
        <f>SUMPRODUCT(--(UserAccountData!$D$3:$D$2 = A10),--(UserAccountData!$G$3:$G$2 ="Y"))</f>
        <v>0</v>
      </c>
      <c r="F10" s="3">
        <f>SUMPRODUCT(--(UserAccountData!$D$3:$D$2 = A10),--(UserAccountData!$H$3:$H$2 ="Y"))</f>
        <v>0</v>
      </c>
      <c r="G10" s="3">
        <f>SUMPRODUCT(--(UserAccountData!$D$3:$D$2 = A10),--(UserAccountData!$I$3:$I$2 ="Y"))</f>
        <v>0</v>
      </c>
      <c r="H10" s="3">
        <f>SUMPRODUCT(--(UserAccountData!$D$3:$D$2 = A10),--(UserAccountData!$J$3:$J$2 ="Y"))</f>
        <v>0</v>
      </c>
      <c r="I10" s="3">
        <f>SUMPRODUCT(--(UserAccountData!$D$3:$D$2 = A10),--(UserAccountData!$K$3:$K$2 ="Y"))</f>
        <v>0</v>
      </c>
      <c r="J10" s="3">
        <f>SUMPRODUCT(--(UserAccountData!$D$3:$D$2 = A10),--(UserAccountData!$L$3:$L$2 ="Y"))</f>
        <v>0</v>
      </c>
      <c r="K10" s="3">
        <f>SUMPRODUCT(--(UserAccountData!$D$3:$D$2 = A10),--(UserAccountData!$M$3:$M$2 ="Y"))</f>
        <v>0</v>
      </c>
      <c r="L10" s="3">
        <f>SUMPRODUCT(--(UserAccountData!$D$3:$D$2 = A10),--(UserAccountData!$N$3:$N$2 ="Y"))</f>
        <v>0</v>
      </c>
      <c r="M10" s="3">
        <f>SUMPRODUCT(--(UserAccountData!$D$3:$D$2 = A10),--(UserAccountData!$O$3:$O$2 ="Y"))</f>
        <v>0</v>
      </c>
      <c r="N10" s="3">
        <f>SUMPRODUCT(--(UserAccountData!$D$3:$D$2 = A10),--(UserAccountData!$P$3:$P$2 ="Y"))</f>
        <v>0</v>
      </c>
      <c r="O10" s="3">
        <f>SUMPRODUCT(--(UserAccountData!$D$3:$D$2 = A10),--(UserAccountData!$Q$3:$Q$2 ="Y"))</f>
        <v>0</v>
      </c>
    </row>
    <row r="11" spans="1:15">
      <c r="A11" s="3" t="s">
        <v>120</v>
      </c>
      <c r="B11" s="3">
        <f>COUNTIF(UserAccountData!$D$3:$D$2,A11)</f>
        <v>0</v>
      </c>
      <c r="C11" s="3">
        <f>SUMPRODUCT(--(UserAccountData!$D$3:$D$2 = A11),--(UserAccountData!$E$3:$E$2 ="Y"))</f>
        <v>0</v>
      </c>
      <c r="D11" s="3">
        <f>SUMPRODUCT(--(UserAccountData!$D$3:$D$2 = A11),--(UserAccountData!$F$3:$F$2 ="Y"))</f>
        <v>0</v>
      </c>
      <c r="E11" s="3">
        <f>SUMPRODUCT(--(UserAccountData!$D$3:$D$2 = A11),--(UserAccountData!$G$3:$G$2 ="Y"))</f>
        <v>0</v>
      </c>
      <c r="F11" s="3">
        <f>SUMPRODUCT(--(UserAccountData!$D$3:$D$2 = A11),--(UserAccountData!$H$3:$H$2 ="Y"))</f>
        <v>0</v>
      </c>
      <c r="G11" s="3">
        <f>SUMPRODUCT(--(UserAccountData!$D$3:$D$2 = A11),--(UserAccountData!$I$3:$I$2 ="Y"))</f>
        <v>0</v>
      </c>
      <c r="H11" s="3">
        <f>SUMPRODUCT(--(UserAccountData!$D$3:$D$2 = A11),--(UserAccountData!$J$3:$J$2 ="Y"))</f>
        <v>0</v>
      </c>
      <c r="I11" s="3">
        <f>SUMPRODUCT(--(UserAccountData!$D$3:$D$2 = A11),--(UserAccountData!$K$3:$K$2 ="Y"))</f>
        <v>0</v>
      </c>
      <c r="J11" s="3">
        <f>SUMPRODUCT(--(UserAccountData!$D$3:$D$2 = A11),--(UserAccountData!$L$3:$L$2 ="Y"))</f>
        <v>0</v>
      </c>
      <c r="K11" s="3">
        <f>SUMPRODUCT(--(UserAccountData!$D$3:$D$2 = A11),--(UserAccountData!$M$3:$M$2 ="Y"))</f>
        <v>0</v>
      </c>
      <c r="L11" s="3">
        <f>SUMPRODUCT(--(UserAccountData!$D$3:$D$2 = A11),--(UserAccountData!$N$3:$N$2 ="Y"))</f>
        <v>0</v>
      </c>
      <c r="M11" s="3">
        <f>SUMPRODUCT(--(UserAccountData!$D$3:$D$2 = A11),--(UserAccountData!$O$3:$O$2 ="Y"))</f>
        <v>0</v>
      </c>
      <c r="N11" s="3">
        <f>SUMPRODUCT(--(UserAccountData!$D$3:$D$2 = A11),--(UserAccountData!$P$3:$P$2 ="Y"))</f>
        <v>0</v>
      </c>
      <c r="O11" s="3">
        <f>SUMPRODUCT(--(UserAccountData!$D$3:$D$2 = A11),--(UserAccountData!$Q$3:$Q$2 ="Y"))</f>
        <v>0</v>
      </c>
    </row>
    <row r="12" spans="1:15">
      <c r="A12" s="3" t="s">
        <v>121</v>
      </c>
      <c r="B12" s="3">
        <f>COUNTIF(UserAccountData!$D$3:$D$2,A12)</f>
        <v>0</v>
      </c>
      <c r="C12" s="3">
        <f>SUMPRODUCT(--(UserAccountData!$D$3:$D$2 = A12),--(UserAccountData!$E$3:$E$2 ="Y"))</f>
        <v>0</v>
      </c>
      <c r="D12" s="3">
        <f>SUMPRODUCT(--(UserAccountData!$D$3:$D$2 = A12),--(UserAccountData!$F$3:$F$2 ="Y"))</f>
        <v>0</v>
      </c>
      <c r="E12" s="3">
        <f>SUMPRODUCT(--(UserAccountData!$D$3:$D$2 = A12),--(UserAccountData!$G$3:$G$2 ="Y"))</f>
        <v>0</v>
      </c>
      <c r="F12" s="3">
        <f>SUMPRODUCT(--(UserAccountData!$D$3:$D$2 = A12),--(UserAccountData!$H$3:$H$2 ="Y"))</f>
        <v>0</v>
      </c>
      <c r="G12" s="3">
        <f>SUMPRODUCT(--(UserAccountData!$D$3:$D$2 = A12),--(UserAccountData!$I$3:$I$2 ="Y"))</f>
        <v>0</v>
      </c>
      <c r="H12" s="3">
        <f>SUMPRODUCT(--(UserAccountData!$D$3:$D$2 = A12),--(UserAccountData!$J$3:$J$2 ="Y"))</f>
        <v>0</v>
      </c>
      <c r="I12" s="3">
        <f>SUMPRODUCT(--(UserAccountData!$D$3:$D$2 = A12),--(UserAccountData!$K$3:$K$2 ="Y"))</f>
        <v>0</v>
      </c>
      <c r="J12" s="3">
        <f>SUMPRODUCT(--(UserAccountData!$D$3:$D$2 = A12),--(UserAccountData!$L$3:$L$2 ="Y"))</f>
        <v>0</v>
      </c>
      <c r="K12" s="3">
        <f>SUMPRODUCT(--(UserAccountData!$D$3:$D$2 = A12),--(UserAccountData!$M$3:$M$2 ="Y"))</f>
        <v>0</v>
      </c>
      <c r="L12" s="3">
        <f>SUMPRODUCT(--(UserAccountData!$D$3:$D$2 = A12),--(UserAccountData!$N$3:$N$2 ="Y"))</f>
        <v>0</v>
      </c>
      <c r="M12" s="3">
        <f>SUMPRODUCT(--(UserAccountData!$D$3:$D$2 = A12),--(UserAccountData!$O$3:$O$2 ="Y"))</f>
        <v>0</v>
      </c>
      <c r="N12" s="3">
        <f>SUMPRODUCT(--(UserAccountData!$D$3:$D$2 = A12),--(UserAccountData!$P$3:$P$2 ="Y"))</f>
        <v>0</v>
      </c>
      <c r="O12" s="3">
        <f>SUMPRODUCT(--(UserAccountData!$D$3:$D$2 = A12),--(UserAccountData!$Q$3:$Q$2 ="Y"))</f>
        <v>0</v>
      </c>
    </row>
    <row r="13" spans="1:15">
      <c r="A13" s="3" t="s">
        <v>122</v>
      </c>
      <c r="B13" s="3">
        <f>COUNTIF(UserAccountData!$D$3:$D$2,A13)</f>
        <v>0</v>
      </c>
      <c r="C13" s="3">
        <f>SUMPRODUCT(--(UserAccountData!$D$3:$D$2 = A13),--(UserAccountData!$E$3:$E$2 ="Y"))</f>
        <v>0</v>
      </c>
      <c r="D13" s="3">
        <f>SUMPRODUCT(--(UserAccountData!$D$3:$D$2 = A13),--(UserAccountData!$F$3:$F$2 ="Y"))</f>
        <v>0</v>
      </c>
      <c r="E13" s="3">
        <f>SUMPRODUCT(--(UserAccountData!$D$3:$D$2 = A13),--(UserAccountData!$G$3:$G$2 ="Y"))</f>
        <v>0</v>
      </c>
      <c r="F13" s="3">
        <f>SUMPRODUCT(--(UserAccountData!$D$3:$D$2 = A13),--(UserAccountData!$H$3:$H$2 ="Y"))</f>
        <v>0</v>
      </c>
      <c r="G13" s="3">
        <f>SUMPRODUCT(--(UserAccountData!$D$3:$D$2 = A13),--(UserAccountData!$I$3:$I$2 ="Y"))</f>
        <v>0</v>
      </c>
      <c r="H13" s="3">
        <f>SUMPRODUCT(--(UserAccountData!$D$3:$D$2 = A13),--(UserAccountData!$J$3:$J$2 ="Y"))</f>
        <v>0</v>
      </c>
      <c r="I13" s="3">
        <f>SUMPRODUCT(--(UserAccountData!$D$3:$D$2 = A13),--(UserAccountData!$K$3:$K$2 ="Y"))</f>
        <v>0</v>
      </c>
      <c r="J13" s="3">
        <f>SUMPRODUCT(--(UserAccountData!$D$3:$D$2 = A13),--(UserAccountData!$L$3:$L$2 ="Y"))</f>
        <v>0</v>
      </c>
      <c r="K13" s="3">
        <f>SUMPRODUCT(--(UserAccountData!$D$3:$D$2 = A13),--(UserAccountData!$M$3:$M$2 ="Y"))</f>
        <v>0</v>
      </c>
      <c r="L13" s="3">
        <f>SUMPRODUCT(--(UserAccountData!$D$3:$D$2 = A13),--(UserAccountData!$N$3:$N$2 ="Y"))</f>
        <v>0</v>
      </c>
      <c r="M13" s="3">
        <f>SUMPRODUCT(--(UserAccountData!$D$3:$D$2 = A13),--(UserAccountData!$O$3:$O$2 ="Y"))</f>
        <v>0</v>
      </c>
      <c r="N13" s="3">
        <f>SUMPRODUCT(--(UserAccountData!$D$3:$D$2 = A13),--(UserAccountData!$P$3:$P$2 ="Y"))</f>
        <v>0</v>
      </c>
      <c r="O13" s="3">
        <f>SUMPRODUCT(--(UserAccountData!$D$3:$D$2 = A13),--(UserAccountData!$Q$3:$Q$2 ="Y"))</f>
        <v>0</v>
      </c>
    </row>
    <row r="17" spans="1:4">
      <c r="A17" s="1" t="s">
        <v>123</v>
      </c>
      <c r="B17" s="1"/>
      <c r="C17" s="1"/>
      <c r="D17" s="1"/>
    </row>
    <row r="18" spans="1:4">
      <c r="A18" s="1" t="s">
        <v>48</v>
      </c>
      <c r="B18" s="1" t="s">
        <v>49</v>
      </c>
      <c r="C18" s="1" t="s">
        <v>50</v>
      </c>
      <c r="D18" s="1" t="s">
        <v>51</v>
      </c>
    </row>
    <row r="22" spans="1:4">
      <c r="A22" s="1" t="s">
        <v>124</v>
      </c>
      <c r="B22" s="1"/>
      <c r="C22" s="1"/>
      <c r="D22" s="1"/>
    </row>
    <row r="23" spans="1:4">
      <c r="A23" s="1" t="s">
        <v>48</v>
      </c>
      <c r="B23" s="1" t="s">
        <v>49</v>
      </c>
      <c r="C23" s="1" t="s">
        <v>50</v>
      </c>
      <c r="D23" s="1" t="s">
        <v>51</v>
      </c>
    </row>
    <row r="27" spans="1:4">
      <c r="A27" s="1" t="s">
        <v>125</v>
      </c>
      <c r="B27" s="1"/>
      <c r="C27" s="1"/>
      <c r="D27" s="1"/>
    </row>
    <row r="28" spans="1:4">
      <c r="A28" s="1" t="s">
        <v>48</v>
      </c>
      <c r="B28" s="1" t="s">
        <v>49</v>
      </c>
      <c r="C28" s="1" t="s">
        <v>50</v>
      </c>
      <c r="D28" s="1" t="s">
        <v>51</v>
      </c>
    </row>
    <row r="29" spans="1:4">
      <c r="A29" s="3" t="s">
        <v>25</v>
      </c>
      <c r="B29" s="3">
        <v>10001</v>
      </c>
      <c r="C29" s="3" t="s">
        <v>27</v>
      </c>
      <c r="D29" s="3">
        <v>1</v>
      </c>
    </row>
  </sheetData>
  <mergeCells count="4">
    <mergeCell ref="A2:D2"/>
    <mergeCell ref="A17:D17"/>
    <mergeCell ref="A22:D22"/>
    <mergeCell ref="A27:D27"/>
  </mergeCells>
  <hyperlinks>
    <hyperlink ref="A1" location="'Home Worksheet'!A1" display="'Home Worksheet'!A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3" width="20.7109375" customWidth="1"/>
    <col min="4" max="4" width="50.7109375" customWidth="1"/>
    <col min="5" max="5" width="10.7109375" customWidth="1"/>
    <col min="6" max="6" width="50.7109375" customWidth="1"/>
  </cols>
  <sheetData>
    <row r="1" spans="1:6">
      <c r="A1" s="2" t="s">
        <v>0</v>
      </c>
    </row>
    <row r="2" spans="1:6">
      <c r="A2" s="1" t="s">
        <v>1</v>
      </c>
      <c r="B2" s="1" t="s">
        <v>7</v>
      </c>
      <c r="C2" s="1" t="s">
        <v>4</v>
      </c>
      <c r="D2" s="1" t="s">
        <v>9</v>
      </c>
      <c r="E2" s="1" t="s">
        <v>126</v>
      </c>
      <c r="F2" s="1" t="s">
        <v>127</v>
      </c>
    </row>
    <row r="3" spans="1:6">
      <c r="A3" s="3" t="s">
        <v>21</v>
      </c>
      <c r="B3" s="3" t="s">
        <v>128</v>
      </c>
      <c r="C3" s="3">
        <v>30003</v>
      </c>
      <c r="D3" s="3" t="s">
        <v>29</v>
      </c>
      <c r="E3" s="3">
        <v>1</v>
      </c>
      <c r="F3" s="3" t="s">
        <v>22</v>
      </c>
    </row>
    <row r="4" spans="1:6">
      <c r="A4" s="3" t="s">
        <v>21</v>
      </c>
      <c r="B4" s="3" t="s">
        <v>128</v>
      </c>
      <c r="C4" s="3">
        <v>20002</v>
      </c>
      <c r="D4" s="3" t="s">
        <v>28</v>
      </c>
      <c r="E4" s="3">
        <v>1</v>
      </c>
      <c r="F4" s="3" t="s">
        <v>22</v>
      </c>
    </row>
    <row r="5" spans="1:6">
      <c r="A5" s="3" t="s">
        <v>21</v>
      </c>
      <c r="B5" s="3" t="s">
        <v>128</v>
      </c>
      <c r="C5" s="3">
        <v>20003</v>
      </c>
      <c r="D5" s="3" t="s">
        <v>33</v>
      </c>
      <c r="E5" s="3">
        <v>1</v>
      </c>
      <c r="F5" s="3" t="s">
        <v>30</v>
      </c>
    </row>
    <row r="6" spans="1:6">
      <c r="A6" s="3" t="s">
        <v>21</v>
      </c>
      <c r="B6" s="3" t="s">
        <v>129</v>
      </c>
      <c r="C6" s="3">
        <v>99999</v>
      </c>
      <c r="D6" s="3" t="s">
        <v>26</v>
      </c>
      <c r="E6" s="3">
        <v>1</v>
      </c>
      <c r="F6" s="3" t="s">
        <v>22</v>
      </c>
    </row>
    <row r="7" spans="1:6">
      <c r="A7" s="3" t="s">
        <v>21</v>
      </c>
      <c r="B7" s="3" t="s">
        <v>129</v>
      </c>
      <c r="C7" s="3">
        <v>10002</v>
      </c>
      <c r="D7" s="3" t="s">
        <v>32</v>
      </c>
      <c r="E7" s="3">
        <v>1</v>
      </c>
      <c r="F7" s="3" t="s">
        <v>30</v>
      </c>
    </row>
    <row r="8" spans="1:6">
      <c r="A8" s="3" t="s">
        <v>21</v>
      </c>
      <c r="B8" s="3" t="s">
        <v>130</v>
      </c>
      <c r="C8" s="3">
        <v>10001</v>
      </c>
      <c r="D8" s="3" t="s">
        <v>27</v>
      </c>
      <c r="E8" s="3">
        <v>1</v>
      </c>
      <c r="F8" s="3" t="s">
        <v>22</v>
      </c>
    </row>
  </sheetData>
  <autoFilter ref="A2:F2"/>
  <hyperlinks>
    <hyperlink ref="A1" location="'Home Worksheet'!A1" display="'Home Worksheet'!A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16"/>
  <sheetViews>
    <sheetView workbookViewId="0"/>
  </sheetViews>
  <sheetFormatPr defaultRowHeight="15"/>
  <cols>
    <col min="1" max="1" width="60.7109375" customWidth="1"/>
    <col min="2" max="2" width="20.7109375" customWidth="1"/>
  </cols>
  <sheetData>
    <row r="1" spans="1:2">
      <c r="A1" s="2" t="s">
        <v>0</v>
      </c>
    </row>
    <row r="2" spans="1:2">
      <c r="A2" s="1" t="s">
        <v>131</v>
      </c>
      <c r="B2" s="1"/>
    </row>
    <row r="3" spans="1:2">
      <c r="A3" s="1" t="s">
        <v>132</v>
      </c>
      <c r="B3" s="1" t="s">
        <v>133</v>
      </c>
    </row>
    <row r="4" spans="1:2">
      <c r="A4" s="3" t="s">
        <v>95</v>
      </c>
      <c r="B4" s="3">
        <v>1</v>
      </c>
    </row>
    <row r="5" spans="1:2">
      <c r="A5" s="3" t="s">
        <v>93</v>
      </c>
      <c r="B5" s="3">
        <v>1</v>
      </c>
    </row>
    <row r="16" spans="1:2">
      <c r="A16" s="1" t="s">
        <v>134</v>
      </c>
      <c r="B16" s="1"/>
    </row>
    <row r="17" spans="1:2">
      <c r="A17" s="1" t="s">
        <v>135</v>
      </c>
      <c r="B17" s="1" t="s">
        <v>133</v>
      </c>
    </row>
    <row r="18" spans="1:2">
      <c r="A18" s="3" t="s">
        <v>119</v>
      </c>
      <c r="B18" s="3">
        <v>2</v>
      </c>
    </row>
    <row r="29" spans="1:2">
      <c r="A29" s="1" t="s">
        <v>136</v>
      </c>
      <c r="B29" s="1"/>
    </row>
    <row r="30" spans="1:2">
      <c r="A30" s="1" t="s">
        <v>137</v>
      </c>
      <c r="B30" s="1" t="s">
        <v>133</v>
      </c>
    </row>
    <row r="31" spans="1:2">
      <c r="A31" s="3" t="s">
        <v>30</v>
      </c>
      <c r="B31" s="3">
        <v>1</v>
      </c>
    </row>
    <row r="32" spans="1:2">
      <c r="A32" s="3" t="s">
        <v>22</v>
      </c>
      <c r="B32" s="3">
        <v>1</v>
      </c>
    </row>
    <row r="43" spans="1:2">
      <c r="A43" s="1" t="s">
        <v>138</v>
      </c>
      <c r="B43" s="1"/>
    </row>
    <row r="44" spans="1:2">
      <c r="A44" s="1" t="s">
        <v>139</v>
      </c>
      <c r="B44" s="1" t="s">
        <v>133</v>
      </c>
    </row>
    <row r="45" spans="1:2">
      <c r="A45" s="3">
        <v>1</v>
      </c>
      <c r="B45" s="3">
        <v>2</v>
      </c>
    </row>
    <row r="56" spans="1:2">
      <c r="A56" s="1" t="s">
        <v>140</v>
      </c>
      <c r="B56" s="1"/>
    </row>
    <row r="57" spans="1:2">
      <c r="A57" s="1" t="s">
        <v>141</v>
      </c>
      <c r="B57" s="1" t="s">
        <v>133</v>
      </c>
    </row>
    <row r="58" spans="1:2">
      <c r="A58" s="3">
        <v>2</v>
      </c>
      <c r="B58" s="3">
        <v>1</v>
      </c>
    </row>
    <row r="59" spans="1:2">
      <c r="A59" s="3">
        <v>1</v>
      </c>
      <c r="B59" s="3">
        <v>1</v>
      </c>
    </row>
    <row r="70" spans="1:2">
      <c r="A70" s="1" t="s">
        <v>142</v>
      </c>
      <c r="B70" s="1"/>
    </row>
    <row r="71" spans="1:2">
      <c r="A71" s="1" t="s">
        <v>143</v>
      </c>
      <c r="B71" s="1" t="s">
        <v>133</v>
      </c>
    </row>
    <row r="72" spans="1:2">
      <c r="A72" s="3">
        <v>1</v>
      </c>
      <c r="B72" s="3">
        <v>1</v>
      </c>
    </row>
    <row r="73" spans="1:2">
      <c r="A73" s="3">
        <v>0</v>
      </c>
      <c r="B73" s="3">
        <v>1</v>
      </c>
    </row>
    <row r="84" spans="1:2">
      <c r="A84" s="1" t="s">
        <v>144</v>
      </c>
      <c r="B84" s="1"/>
    </row>
    <row r="85" spans="1:2">
      <c r="A85" s="1" t="s">
        <v>145</v>
      </c>
      <c r="B85" s="1" t="s">
        <v>133</v>
      </c>
    </row>
    <row r="86" spans="1:2">
      <c r="A86" s="3">
        <v>0</v>
      </c>
      <c r="B86" s="3">
        <v>2</v>
      </c>
    </row>
    <row r="97" spans="1:2">
      <c r="A97" s="1" t="s">
        <v>146</v>
      </c>
      <c r="B97" s="1"/>
    </row>
    <row r="98" spans="1:2">
      <c r="A98" s="1" t="s">
        <v>147</v>
      </c>
      <c r="B98" s="1" t="s">
        <v>133</v>
      </c>
    </row>
    <row r="99" spans="1:2">
      <c r="A99" s="3">
        <v>0</v>
      </c>
      <c r="B99" s="3">
        <v>2</v>
      </c>
    </row>
    <row r="110" spans="1:2">
      <c r="A110" s="1" t="s">
        <v>148</v>
      </c>
      <c r="B110" s="1"/>
    </row>
    <row r="111" spans="1:2">
      <c r="A111" s="1" t="s">
        <v>149</v>
      </c>
      <c r="B111" s="1" t="s">
        <v>133</v>
      </c>
    </row>
    <row r="112" spans="1:2">
      <c r="A112" s="3" t="s">
        <v>119</v>
      </c>
      <c r="B112" s="3">
        <v>2</v>
      </c>
    </row>
    <row r="123" spans="1:2">
      <c r="A123" s="1" t="s">
        <v>150</v>
      </c>
      <c r="B123" s="1"/>
    </row>
    <row r="124" spans="1:2">
      <c r="A124" s="1" t="s">
        <v>151</v>
      </c>
      <c r="B124" s="1" t="s">
        <v>133</v>
      </c>
    </row>
    <row r="125" spans="1:2">
      <c r="A125" s="3" t="s">
        <v>119</v>
      </c>
      <c r="B125" s="3">
        <v>2</v>
      </c>
    </row>
    <row r="136" spans="1:2">
      <c r="A136" s="1" t="s">
        <v>152</v>
      </c>
      <c r="B136" s="1"/>
    </row>
    <row r="137" spans="1:2">
      <c r="A137" s="1" t="s">
        <v>153</v>
      </c>
      <c r="B137" s="1" t="s">
        <v>133</v>
      </c>
    </row>
    <row r="138" spans="1:2">
      <c r="A138" s="3" t="s">
        <v>119</v>
      </c>
      <c r="B138" s="3">
        <v>2</v>
      </c>
    </row>
    <row r="149" spans="1:2">
      <c r="A149" s="1" t="s">
        <v>154</v>
      </c>
      <c r="B149" s="1"/>
    </row>
    <row r="150" spans="1:2">
      <c r="A150" s="1" t="s">
        <v>155</v>
      </c>
      <c r="B150" s="1" t="s">
        <v>133</v>
      </c>
    </row>
    <row r="151" spans="1:2">
      <c r="A151" s="3" t="s">
        <v>119</v>
      </c>
      <c r="B151" s="3">
        <v>2</v>
      </c>
    </row>
    <row r="162" spans="1:2">
      <c r="A162" s="1" t="s">
        <v>156</v>
      </c>
      <c r="B162" s="1"/>
    </row>
    <row r="163" spans="1:2">
      <c r="A163" s="1" t="s">
        <v>157</v>
      </c>
      <c r="B163" s="1" t="s">
        <v>133</v>
      </c>
    </row>
    <row r="164" spans="1:2">
      <c r="A164" s="3" t="s">
        <v>119</v>
      </c>
      <c r="B164" s="3">
        <v>2</v>
      </c>
    </row>
    <row r="175" spans="1:2">
      <c r="A175" s="1" t="s">
        <v>158</v>
      </c>
      <c r="B175" s="1"/>
    </row>
    <row r="176" spans="1:2">
      <c r="A176" s="1" t="s">
        <v>159</v>
      </c>
      <c r="B176" s="1" t="s">
        <v>133</v>
      </c>
    </row>
    <row r="177" spans="1:2">
      <c r="A177" s="3" t="s">
        <v>119</v>
      </c>
      <c r="B177" s="3">
        <v>2</v>
      </c>
    </row>
    <row r="188" spans="1:2">
      <c r="A188" s="1" t="s">
        <v>160</v>
      </c>
      <c r="B188" s="1"/>
    </row>
    <row r="189" spans="1:2">
      <c r="A189" s="1" t="s">
        <v>161</v>
      </c>
      <c r="B189" s="1" t="s">
        <v>133</v>
      </c>
    </row>
    <row r="190" spans="1:2">
      <c r="A190" s="3" t="s">
        <v>119</v>
      </c>
      <c r="B190" s="3">
        <v>2</v>
      </c>
    </row>
    <row r="201" spans="1:2">
      <c r="A201" s="1" t="s">
        <v>162</v>
      </c>
      <c r="B201" s="1"/>
    </row>
    <row r="202" spans="1:2">
      <c r="A202" s="1" t="s">
        <v>163</v>
      </c>
      <c r="B202" s="1" t="s">
        <v>133</v>
      </c>
    </row>
    <row r="203" spans="1:2">
      <c r="A203" s="3" t="s">
        <v>119</v>
      </c>
      <c r="B203" s="3">
        <v>2</v>
      </c>
    </row>
    <row r="214" spans="1:2">
      <c r="A214" s="1" t="s">
        <v>164</v>
      </c>
      <c r="B214" s="1"/>
    </row>
    <row r="215" spans="1:2">
      <c r="A215" s="1" t="s">
        <v>165</v>
      </c>
      <c r="B215" s="1" t="s">
        <v>133</v>
      </c>
    </row>
    <row r="216" spans="1:2">
      <c r="A216" s="3" t="s">
        <v>119</v>
      </c>
      <c r="B216" s="3">
        <v>2</v>
      </c>
    </row>
  </sheetData>
  <mergeCells count="17">
    <mergeCell ref="A2:B2"/>
    <mergeCell ref="A16:B16"/>
    <mergeCell ref="A29:B29"/>
    <mergeCell ref="A43:B43"/>
    <mergeCell ref="A56:B56"/>
    <mergeCell ref="A70:B70"/>
    <mergeCell ref="A84:B84"/>
    <mergeCell ref="A97:B97"/>
    <mergeCell ref="A110:B110"/>
    <mergeCell ref="A123:B123"/>
    <mergeCell ref="A136:B136"/>
    <mergeCell ref="A149:B149"/>
    <mergeCell ref="A162:B162"/>
    <mergeCell ref="A175:B175"/>
    <mergeCell ref="A188:B188"/>
    <mergeCell ref="A201:B201"/>
    <mergeCell ref="A214:B214"/>
  </mergeCells>
  <hyperlinks>
    <hyperlink ref="A1" location="'Home Worksheet'!A1" display="'Home Worksheet'!A1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 Worksheet</vt:lpstr>
      <vt:lpstr>host_scan_data</vt:lpstr>
      <vt:lpstr>CVSS Score Total</vt:lpstr>
      <vt:lpstr>Medium</vt:lpstr>
      <vt:lpstr>low</vt:lpstr>
      <vt:lpstr>Information</vt:lpstr>
      <vt:lpstr>CPE Report Data</vt:lpstr>
      <vt:lpstr>Device Type</vt:lpstr>
      <vt:lpstr>HostConfigData</vt:lpstr>
      <vt:lpstr>UserAccountData</vt:lpstr>
      <vt:lpstr>Summary Report Data</vt:lpstr>
      <vt:lpstr>Vulnerability to IP Summary</vt:lpstr>
      <vt:lpstr>HostSummary Report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2026-02-10T23:38:26Z</dcterms:created>
  <dcterms:modified xsi:type="dcterms:W3CDTF">2026-02-10T23:38:26Z</dcterms:modified>
</cp:coreProperties>
</file>